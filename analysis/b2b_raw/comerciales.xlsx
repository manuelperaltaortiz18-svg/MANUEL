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0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1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2.xml" ContentType="application/vnd.openxmlformats-officedocument.drawing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9\compartida\COMERCIALES RENDIMIENTO\"/>
    </mc:Choice>
  </mc:AlternateContent>
  <xr:revisionPtr revIDLastSave="0" documentId="13_ncr:1_{5B14FB9D-876D-40D3-8F86-7DCBAD7D79E1}" xr6:coauthVersionLast="47" xr6:coauthVersionMax="47" xr10:uidLastSave="{00000000-0000-0000-0000-000000000000}"/>
  <bookViews>
    <workbookView xWindow="-120" yWindow="-120" windowWidth="29040" windowHeight="15720" xr2:uid="{22BEE9C5-618C-423D-812D-FEC45D654DF2}"/>
  </bookViews>
  <sheets>
    <sheet name="MENSUAL COMERCIALES" sheetId="6" r:id="rId1"/>
    <sheet name="TRIMESTRAL COMERCIALES" sheetId="7" r:id="rId2"/>
    <sheet name="ANUAL COMERCIALES" sheetId="1" r:id="rId3"/>
    <sheet name="Hoja1" sheetId="16" r:id="rId4"/>
    <sheet name="ESPIN" sheetId="8" r:id="rId5"/>
    <sheet name="LOMBARTE" sheetId="9" r:id="rId6"/>
    <sheet name="BEÑAT" sheetId="10" r:id="rId7"/>
    <sheet name="ANTONIO" sheetId="12" r:id="rId8"/>
    <sheet name="ÁNGEL" sheetId="11" r:id="rId9"/>
    <sheet name="CORESUR" sheetId="13" r:id="rId10"/>
    <sheet name="DM" sheetId="14" r:id="rId11"/>
    <sheet name="ONDIVELA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3" i="1"/>
  <c r="F4" i="1"/>
  <c r="F5" i="1"/>
  <c r="F6" i="1"/>
  <c r="F7" i="1"/>
  <c r="F8" i="1"/>
  <c r="F9" i="1"/>
  <c r="C45" i="7"/>
  <c r="C53" i="7"/>
  <c r="C52" i="7"/>
  <c r="C51" i="7"/>
  <c r="C50" i="7"/>
  <c r="C49" i="7"/>
  <c r="C48" i="7"/>
  <c r="C47" i="7"/>
  <c r="C46" i="7"/>
  <c r="N44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57" i="6"/>
  <c r="N56" i="6"/>
  <c r="N55" i="6"/>
  <c r="N53" i="6"/>
  <c r="N52" i="6"/>
  <c r="N51" i="6"/>
  <c r="N50" i="6"/>
  <c r="N49" i="6"/>
  <c r="N54" i="6"/>
  <c r="B53" i="7"/>
  <c r="B52" i="7"/>
  <c r="B51" i="7"/>
  <c r="B50" i="7"/>
  <c r="B49" i="7"/>
  <c r="B48" i="7"/>
  <c r="B47" i="7"/>
  <c r="B46" i="7"/>
  <c r="B45" i="7"/>
  <c r="E11" i="1"/>
  <c r="L3" i="9"/>
  <c r="M3" i="9"/>
  <c r="L3" i="10"/>
  <c r="M3" i="10"/>
  <c r="B11" i="1"/>
  <c r="E4" i="1"/>
  <c r="N3" i="9" s="1"/>
  <c r="M19" i="15"/>
  <c r="M3" i="15"/>
  <c r="D30" i="15"/>
  <c r="D29" i="15"/>
  <c r="D27" i="15"/>
  <c r="D26" i="15"/>
  <c r="D25" i="15"/>
  <c r="D24" i="15"/>
  <c r="D23" i="15"/>
  <c r="D28" i="15"/>
  <c r="D22" i="15"/>
  <c r="D21" i="15"/>
  <c r="D20" i="15"/>
  <c r="D19" i="15"/>
  <c r="D3" i="15"/>
  <c r="D14" i="15"/>
  <c r="D13" i="15"/>
  <c r="D12" i="15"/>
  <c r="D11" i="15"/>
  <c r="D10" i="15"/>
  <c r="D9" i="15"/>
  <c r="D8" i="15"/>
  <c r="D7" i="15"/>
  <c r="D6" i="15"/>
  <c r="D5" i="15"/>
  <c r="D4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3" i="15"/>
  <c r="C14" i="15"/>
  <c r="C13" i="15"/>
  <c r="C12" i="15"/>
  <c r="C11" i="15"/>
  <c r="C10" i="15"/>
  <c r="C9" i="15"/>
  <c r="C8" i="15"/>
  <c r="C7" i="15"/>
  <c r="C6" i="15"/>
  <c r="C5" i="15"/>
  <c r="C4" i="15"/>
  <c r="E42" i="7"/>
  <c r="E41" i="7"/>
  <c r="E40" i="7"/>
  <c r="E39" i="7"/>
  <c r="E38" i="7"/>
  <c r="E37" i="7"/>
  <c r="E36" i="7"/>
  <c r="E35" i="7"/>
  <c r="M19" i="14"/>
  <c r="M3" i="14"/>
  <c r="L19" i="14"/>
  <c r="L3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3" i="14"/>
  <c r="D14" i="14"/>
  <c r="D13" i="14"/>
  <c r="D12" i="14"/>
  <c r="D11" i="14"/>
  <c r="D10" i="14"/>
  <c r="D9" i="14"/>
  <c r="D8" i="14"/>
  <c r="D7" i="14"/>
  <c r="D6" i="14"/>
  <c r="D5" i="14"/>
  <c r="D4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3" i="14"/>
  <c r="C14" i="14"/>
  <c r="C13" i="14"/>
  <c r="C12" i="14"/>
  <c r="C11" i="14"/>
  <c r="C10" i="14"/>
  <c r="C9" i="14"/>
  <c r="C8" i="14"/>
  <c r="C7" i="14"/>
  <c r="C6" i="14"/>
  <c r="C5" i="14"/>
  <c r="C4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3" i="14"/>
  <c r="B14" i="14"/>
  <c r="B13" i="14"/>
  <c r="B12" i="14"/>
  <c r="B11" i="14"/>
  <c r="B10" i="14"/>
  <c r="B9" i="14"/>
  <c r="B8" i="14"/>
  <c r="B7" i="14"/>
  <c r="B6" i="14"/>
  <c r="B5" i="14"/>
  <c r="B4" i="14"/>
  <c r="M19" i="13"/>
  <c r="M3" i="13"/>
  <c r="L19" i="13"/>
  <c r="L3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3" i="13"/>
  <c r="D14" i="13"/>
  <c r="D13" i="13"/>
  <c r="D12" i="13"/>
  <c r="D11" i="13"/>
  <c r="D10" i="13"/>
  <c r="D9" i="13"/>
  <c r="D8" i="13"/>
  <c r="D7" i="13"/>
  <c r="D6" i="13"/>
  <c r="D5" i="13"/>
  <c r="D4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3" i="13"/>
  <c r="C14" i="13"/>
  <c r="C13" i="13"/>
  <c r="C12" i="13"/>
  <c r="C11" i="13"/>
  <c r="C10" i="13"/>
  <c r="C9" i="13"/>
  <c r="C8" i="13"/>
  <c r="C7" i="13"/>
  <c r="C6" i="13"/>
  <c r="C5" i="13"/>
  <c r="C4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4" i="13"/>
  <c r="B13" i="13"/>
  <c r="B12" i="13"/>
  <c r="B11" i="13"/>
  <c r="B10" i="13"/>
  <c r="B9" i="13"/>
  <c r="B8" i="13"/>
  <c r="B7" i="13"/>
  <c r="B6" i="13"/>
  <c r="B5" i="13"/>
  <c r="B4" i="13"/>
  <c r="B3" i="13"/>
  <c r="L19" i="11"/>
  <c r="L3" i="11"/>
  <c r="M19" i="11"/>
  <c r="M3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3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3" i="11"/>
  <c r="D14" i="11"/>
  <c r="D13" i="11"/>
  <c r="D12" i="11"/>
  <c r="D11" i="11"/>
  <c r="D10" i="11"/>
  <c r="D9" i="11"/>
  <c r="D8" i="11"/>
  <c r="D7" i="11"/>
  <c r="D6" i="11"/>
  <c r="D5" i="11"/>
  <c r="D4" i="11"/>
  <c r="C14" i="11"/>
  <c r="C13" i="11"/>
  <c r="C12" i="11"/>
  <c r="C11" i="11"/>
  <c r="C10" i="11"/>
  <c r="C9" i="11"/>
  <c r="C8" i="11"/>
  <c r="C7" i="11"/>
  <c r="C6" i="11"/>
  <c r="C5" i="11"/>
  <c r="C4" i="11"/>
  <c r="B30" i="11"/>
  <c r="B29" i="11"/>
  <c r="B28" i="11"/>
  <c r="B27" i="11"/>
  <c r="B26" i="11"/>
  <c r="B25" i="11"/>
  <c r="B24" i="11"/>
  <c r="B23" i="11"/>
  <c r="B22" i="11"/>
  <c r="B21" i="11"/>
  <c r="B20" i="11"/>
  <c r="B4" i="11"/>
  <c r="B19" i="11"/>
  <c r="B3" i="11"/>
  <c r="B14" i="11"/>
  <c r="B13" i="11"/>
  <c r="B12" i="11"/>
  <c r="B11" i="11"/>
  <c r="B10" i="11"/>
  <c r="B6" i="11"/>
  <c r="B7" i="11"/>
  <c r="B9" i="11"/>
  <c r="B8" i="11"/>
  <c r="B5" i="11"/>
  <c r="L19" i="12"/>
  <c r="M19" i="12"/>
  <c r="M3" i="12"/>
  <c r="L3" i="12"/>
  <c r="D30" i="12"/>
  <c r="D29" i="12"/>
  <c r="D27" i="12"/>
  <c r="D28" i="12"/>
  <c r="D26" i="12"/>
  <c r="D25" i="12"/>
  <c r="D24" i="12"/>
  <c r="D23" i="12"/>
  <c r="D22" i="12"/>
  <c r="D21" i="12"/>
  <c r="D20" i="12"/>
  <c r="D19" i="12"/>
  <c r="D14" i="12"/>
  <c r="D13" i="12"/>
  <c r="D12" i="12"/>
  <c r="D11" i="12"/>
  <c r="D10" i="12"/>
  <c r="D9" i="12"/>
  <c r="D8" i="12"/>
  <c r="D7" i="12"/>
  <c r="D6" i="12"/>
  <c r="D5" i="12"/>
  <c r="D4" i="12"/>
  <c r="D3" i="12"/>
  <c r="C14" i="12"/>
  <c r="C13" i="12"/>
  <c r="C12" i="12"/>
  <c r="C11" i="12"/>
  <c r="C10" i="12"/>
  <c r="C9" i="12"/>
  <c r="C8" i="12"/>
  <c r="C7" i="12"/>
  <c r="C6" i="12"/>
  <c r="C5" i="12"/>
  <c r="C4" i="12"/>
  <c r="C3" i="12"/>
  <c r="C19" i="12"/>
  <c r="C30" i="12"/>
  <c r="C29" i="12"/>
  <c r="C28" i="12"/>
  <c r="C27" i="12"/>
  <c r="C26" i="12"/>
  <c r="C25" i="12"/>
  <c r="C24" i="12"/>
  <c r="C23" i="12"/>
  <c r="C22" i="12"/>
  <c r="C21" i="12"/>
  <c r="C20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4" i="12"/>
  <c r="B13" i="12"/>
  <c r="B12" i="12"/>
  <c r="B11" i="12"/>
  <c r="B10" i="12"/>
  <c r="B9" i="12"/>
  <c r="B8" i="12"/>
  <c r="B7" i="12"/>
  <c r="B6" i="12"/>
  <c r="B5" i="12"/>
  <c r="B4" i="12"/>
  <c r="B3" i="12"/>
  <c r="M19" i="10"/>
  <c r="L19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C26" i="10"/>
  <c r="C27" i="10"/>
  <c r="C28" i="10"/>
  <c r="C29" i="10"/>
  <c r="C30" i="10"/>
  <c r="C25" i="10"/>
  <c r="C24" i="10"/>
  <c r="C23" i="10"/>
  <c r="C22" i="10"/>
  <c r="C21" i="10"/>
  <c r="C20" i="10"/>
  <c r="C19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D14" i="10"/>
  <c r="D13" i="10"/>
  <c r="D12" i="10"/>
  <c r="D11" i="10"/>
  <c r="D10" i="10"/>
  <c r="D9" i="10"/>
  <c r="D8" i="10"/>
  <c r="D7" i="10"/>
  <c r="D6" i="10"/>
  <c r="D5" i="10"/>
  <c r="D4" i="10"/>
  <c r="D3" i="10"/>
  <c r="C14" i="10"/>
  <c r="C13" i="10"/>
  <c r="C12" i="10"/>
  <c r="C11" i="10"/>
  <c r="C10" i="10"/>
  <c r="C9" i="10"/>
  <c r="C8" i="10"/>
  <c r="C7" i="10"/>
  <c r="C6" i="10"/>
  <c r="C5" i="10"/>
  <c r="C4" i="10"/>
  <c r="C3" i="10"/>
  <c r="B14" i="10"/>
  <c r="B13" i="10"/>
  <c r="B12" i="10"/>
  <c r="B11" i="10"/>
  <c r="B10" i="10"/>
  <c r="B9" i="10"/>
  <c r="B8" i="10"/>
  <c r="B7" i="10"/>
  <c r="B6" i="10"/>
  <c r="B5" i="10"/>
  <c r="B4" i="10"/>
  <c r="B3" i="10"/>
  <c r="M19" i="9"/>
  <c r="L19" i="9"/>
  <c r="E10" i="1"/>
  <c r="N3" i="15" s="1"/>
  <c r="E9" i="1"/>
  <c r="N19" i="14" s="1"/>
  <c r="E8" i="1"/>
  <c r="N19" i="13" s="1"/>
  <c r="E7" i="1"/>
  <c r="N3" i="11" s="1"/>
  <c r="E6" i="1"/>
  <c r="N19" i="12" s="1"/>
  <c r="E5" i="1"/>
  <c r="N3" i="10" s="1"/>
  <c r="E3" i="1"/>
  <c r="N19" i="8" s="1"/>
  <c r="D30" i="9"/>
  <c r="D29" i="9"/>
  <c r="D28" i="9"/>
  <c r="D27" i="9"/>
  <c r="D26" i="9"/>
  <c r="D25" i="9"/>
  <c r="D24" i="9"/>
  <c r="B20" i="9"/>
  <c r="D23" i="9"/>
  <c r="D22" i="9"/>
  <c r="D21" i="9"/>
  <c r="D20" i="9"/>
  <c r="D19" i="9"/>
  <c r="C30" i="9"/>
  <c r="C29" i="9"/>
  <c r="C28" i="9"/>
  <c r="C27" i="9"/>
  <c r="C26" i="9"/>
  <c r="C25" i="9"/>
  <c r="C24" i="9"/>
  <c r="C23" i="9"/>
  <c r="C22" i="9"/>
  <c r="C21" i="9"/>
  <c r="C20" i="9"/>
  <c r="C19" i="9"/>
  <c r="B30" i="9"/>
  <c r="B29" i="9"/>
  <c r="B28" i="9"/>
  <c r="B27" i="9"/>
  <c r="B26" i="9"/>
  <c r="B25" i="9"/>
  <c r="B24" i="9"/>
  <c r="B23" i="9"/>
  <c r="B21" i="9"/>
  <c r="B22" i="9"/>
  <c r="B19" i="9"/>
  <c r="D30" i="8"/>
  <c r="D29" i="8"/>
  <c r="D28" i="8"/>
  <c r="D27" i="8"/>
  <c r="D26" i="8"/>
  <c r="D25" i="8"/>
  <c r="D24" i="8"/>
  <c r="D23" i="8"/>
  <c r="D14" i="8"/>
  <c r="D13" i="8"/>
  <c r="D12" i="8"/>
  <c r="D11" i="8"/>
  <c r="D9" i="8"/>
  <c r="D8" i="8"/>
  <c r="D10" i="8"/>
  <c r="D14" i="9"/>
  <c r="D13" i="9"/>
  <c r="D12" i="9"/>
  <c r="D11" i="9"/>
  <c r="D10" i="9"/>
  <c r="D9" i="9"/>
  <c r="D8" i="9"/>
  <c r="D7" i="9"/>
  <c r="D6" i="9"/>
  <c r="D5" i="9"/>
  <c r="D4" i="9"/>
  <c r="D3" i="9"/>
  <c r="C14" i="9"/>
  <c r="C13" i="9"/>
  <c r="C12" i="9"/>
  <c r="C11" i="9"/>
  <c r="C10" i="9"/>
  <c r="C9" i="9"/>
  <c r="C8" i="9"/>
  <c r="C7" i="9"/>
  <c r="C6" i="9"/>
  <c r="C5" i="9"/>
  <c r="C4" i="9"/>
  <c r="C3" i="9"/>
  <c r="B14" i="9"/>
  <c r="B13" i="9"/>
  <c r="B3" i="9"/>
  <c r="B4" i="9"/>
  <c r="B12" i="9"/>
  <c r="B11" i="9"/>
  <c r="B10" i="9"/>
  <c r="B9" i="9"/>
  <c r="B8" i="9"/>
  <c r="B7" i="9"/>
  <c r="B6" i="9"/>
  <c r="B5" i="9"/>
  <c r="M19" i="8"/>
  <c r="L19" i="8"/>
  <c r="D22" i="8"/>
  <c r="D21" i="8"/>
  <c r="D20" i="8"/>
  <c r="D19" i="8"/>
  <c r="C30" i="8"/>
  <c r="C29" i="8"/>
  <c r="C28" i="8"/>
  <c r="C27" i="8"/>
  <c r="C26" i="8"/>
  <c r="C25" i="8"/>
  <c r="C24" i="8"/>
  <c r="C23" i="8"/>
  <c r="C22" i="8"/>
  <c r="C21" i="8"/>
  <c r="C20" i="8"/>
  <c r="C19" i="8"/>
  <c r="B30" i="8"/>
  <c r="B29" i="8"/>
  <c r="B28" i="8"/>
  <c r="B27" i="8"/>
  <c r="B26" i="8"/>
  <c r="B25" i="8"/>
  <c r="B24" i="8"/>
  <c r="B23" i="8"/>
  <c r="B22" i="8"/>
  <c r="B21" i="8"/>
  <c r="B20" i="8"/>
  <c r="B19" i="8"/>
  <c r="M3" i="8"/>
  <c r="L3" i="8"/>
  <c r="D7" i="8"/>
  <c r="C14" i="8"/>
  <c r="C13" i="8"/>
  <c r="C12" i="8"/>
  <c r="C11" i="8"/>
  <c r="C10" i="8"/>
  <c r="C9" i="8"/>
  <c r="C8" i="8"/>
  <c r="C7" i="8"/>
  <c r="B14" i="8"/>
  <c r="B13" i="8"/>
  <c r="B12" i="8"/>
  <c r="B11" i="8"/>
  <c r="B10" i="8"/>
  <c r="B9" i="8"/>
  <c r="B8" i="8"/>
  <c r="B7" i="8"/>
  <c r="B6" i="8"/>
  <c r="D6" i="8"/>
  <c r="C6" i="8"/>
  <c r="D5" i="8"/>
  <c r="C5" i="8"/>
  <c r="B5" i="8"/>
  <c r="D4" i="8"/>
  <c r="C4" i="8"/>
  <c r="B4" i="8"/>
  <c r="D3" i="8"/>
  <c r="C3" i="8"/>
  <c r="B3" i="8"/>
  <c r="E31" i="7"/>
  <c r="E30" i="7"/>
  <c r="E29" i="7"/>
  <c r="E28" i="7"/>
  <c r="E27" i="7"/>
  <c r="E26" i="7"/>
  <c r="E25" i="7"/>
  <c r="E24" i="7"/>
  <c r="E32" i="7" s="1"/>
  <c r="E20" i="7"/>
  <c r="E19" i="7"/>
  <c r="E18" i="7"/>
  <c r="E17" i="7"/>
  <c r="E16" i="7"/>
  <c r="E15" i="7"/>
  <c r="E14" i="7"/>
  <c r="E22" i="7" s="1"/>
  <c r="E13" i="7"/>
  <c r="D42" i="7"/>
  <c r="D41" i="7"/>
  <c r="D40" i="7"/>
  <c r="D39" i="7"/>
  <c r="D38" i="7"/>
  <c r="D37" i="7"/>
  <c r="D36" i="7"/>
  <c r="D35" i="7"/>
  <c r="D31" i="7"/>
  <c r="D30" i="7"/>
  <c r="D29" i="7"/>
  <c r="D28" i="7"/>
  <c r="D27" i="7"/>
  <c r="D26" i="7"/>
  <c r="D25" i="7"/>
  <c r="D24" i="7"/>
  <c r="D20" i="7"/>
  <c r="D19" i="7"/>
  <c r="D18" i="7"/>
  <c r="D17" i="7"/>
  <c r="D16" i="7"/>
  <c r="D15" i="7"/>
  <c r="D14" i="7"/>
  <c r="D13" i="7"/>
  <c r="D22" i="7" s="1"/>
  <c r="C42" i="7"/>
  <c r="C41" i="7"/>
  <c r="C40" i="7"/>
  <c r="C39" i="7"/>
  <c r="C38" i="7"/>
  <c r="C37" i="7"/>
  <c r="C36" i="7"/>
  <c r="C35" i="7"/>
  <c r="I4" i="8" s="1"/>
  <c r="C31" i="7"/>
  <c r="C30" i="7"/>
  <c r="C29" i="7"/>
  <c r="C28" i="7"/>
  <c r="C27" i="7"/>
  <c r="C26" i="7"/>
  <c r="H4" i="10" s="1"/>
  <c r="C25" i="7"/>
  <c r="C24" i="7"/>
  <c r="C20" i="7"/>
  <c r="C19" i="7"/>
  <c r="C18" i="7"/>
  <c r="C17" i="7"/>
  <c r="C16" i="7"/>
  <c r="C15" i="7"/>
  <c r="C14" i="7"/>
  <c r="C13" i="7"/>
  <c r="C22" i="7" s="1"/>
  <c r="B42" i="7"/>
  <c r="B41" i="7"/>
  <c r="B40" i="7"/>
  <c r="B39" i="7"/>
  <c r="B38" i="7"/>
  <c r="I6" i="8" s="1"/>
  <c r="B37" i="7"/>
  <c r="B36" i="7"/>
  <c r="B35" i="7"/>
  <c r="I3" i="8" s="1"/>
  <c r="B31" i="7"/>
  <c r="B30" i="7"/>
  <c r="B29" i="7"/>
  <c r="B28" i="7"/>
  <c r="B27" i="7"/>
  <c r="B26" i="7"/>
  <c r="B25" i="7"/>
  <c r="B24" i="7"/>
  <c r="B20" i="7"/>
  <c r="B19" i="7"/>
  <c r="B18" i="7"/>
  <c r="B17" i="7"/>
  <c r="B16" i="7"/>
  <c r="B15" i="7"/>
  <c r="B14" i="7"/>
  <c r="B13" i="7"/>
  <c r="B22" i="7" s="1"/>
  <c r="E9" i="7"/>
  <c r="E8" i="7"/>
  <c r="E7" i="7"/>
  <c r="E6" i="7"/>
  <c r="E5" i="7"/>
  <c r="E4" i="7"/>
  <c r="E3" i="7"/>
  <c r="E2" i="7"/>
  <c r="D9" i="7"/>
  <c r="D8" i="7"/>
  <c r="D7" i="7"/>
  <c r="D6" i="7"/>
  <c r="D5" i="7"/>
  <c r="D4" i="7"/>
  <c r="D3" i="7"/>
  <c r="D2" i="7"/>
  <c r="C9" i="7"/>
  <c r="C8" i="7"/>
  <c r="C7" i="7"/>
  <c r="C6" i="7"/>
  <c r="C5" i="7"/>
  <c r="C4" i="7"/>
  <c r="C3" i="7"/>
  <c r="C2" i="7"/>
  <c r="B2" i="7"/>
  <c r="B9" i="7"/>
  <c r="B8" i="7"/>
  <c r="B7" i="7"/>
  <c r="B6" i="7"/>
  <c r="B5" i="7"/>
  <c r="B4" i="7"/>
  <c r="B3" i="7"/>
  <c r="F12" i="1" l="1"/>
  <c r="N58" i="6"/>
  <c r="N59" i="6" s="1"/>
  <c r="I5" i="8"/>
  <c r="G6" i="11"/>
  <c r="I6" i="14"/>
  <c r="G5" i="14"/>
  <c r="G19" i="10"/>
  <c r="H3" i="14"/>
  <c r="G6" i="12"/>
  <c r="I6" i="15"/>
  <c r="H4" i="13"/>
  <c r="I19" i="10"/>
  <c r="H21" i="12"/>
  <c r="I19" i="14"/>
  <c r="H6" i="10"/>
  <c r="G19" i="12"/>
  <c r="I19" i="15"/>
  <c r="I4" i="12"/>
  <c r="H21" i="15"/>
  <c r="H20" i="15"/>
  <c r="I4" i="10"/>
  <c r="G19" i="11"/>
  <c r="I4" i="11"/>
  <c r="G19" i="13"/>
  <c r="I19" i="12"/>
  <c r="H21" i="14"/>
  <c r="G5" i="10"/>
  <c r="G19" i="14"/>
  <c r="G6" i="13"/>
  <c r="H20" i="14"/>
  <c r="H4" i="12"/>
  <c r="H4" i="11"/>
  <c r="H19" i="9"/>
  <c r="G4" i="13"/>
  <c r="I21" i="13"/>
  <c r="I22" i="10"/>
  <c r="G22" i="14"/>
  <c r="H22" i="10"/>
  <c r="I6" i="13"/>
  <c r="H6" i="13"/>
  <c r="I4" i="14"/>
  <c r="I5" i="12"/>
  <c r="G4" i="10"/>
  <c r="I21" i="10"/>
  <c r="I20" i="15"/>
  <c r="I5" i="11"/>
  <c r="I21" i="9"/>
  <c r="I21" i="14"/>
  <c r="I21" i="15"/>
  <c r="G6" i="14"/>
  <c r="H4" i="14"/>
  <c r="H5" i="13"/>
  <c r="G22" i="9"/>
  <c r="H20" i="13"/>
  <c r="G4" i="14"/>
  <c r="G21" i="12"/>
  <c r="H5" i="11"/>
  <c r="G21" i="14"/>
  <c r="G6" i="10"/>
  <c r="H21" i="10"/>
  <c r="I20" i="13"/>
  <c r="G3" i="10"/>
  <c r="H3" i="10"/>
  <c r="H5" i="10"/>
  <c r="H19" i="15"/>
  <c r="H20" i="12"/>
  <c r="G22" i="12"/>
  <c r="G22" i="11"/>
  <c r="I22" i="11"/>
  <c r="I19" i="11"/>
  <c r="I3" i="10"/>
  <c r="I22" i="14"/>
  <c r="I3" i="14"/>
  <c r="I20" i="14"/>
  <c r="I6" i="12"/>
  <c r="I3" i="12"/>
  <c r="I22" i="15"/>
  <c r="I19" i="13"/>
  <c r="I22" i="13"/>
  <c r="N19" i="10"/>
  <c r="I20" i="10"/>
  <c r="I6" i="10"/>
  <c r="G20" i="12"/>
  <c r="G3" i="11"/>
  <c r="I5" i="13"/>
  <c r="H6" i="14"/>
  <c r="N19" i="15"/>
  <c r="I5" i="10"/>
  <c r="N3" i="13"/>
  <c r="H5" i="15"/>
  <c r="H5" i="9"/>
  <c r="H19" i="12"/>
  <c r="G20" i="11"/>
  <c r="G3" i="13"/>
  <c r="I5" i="14"/>
  <c r="H6" i="15"/>
  <c r="G20" i="10"/>
  <c r="G21" i="11"/>
  <c r="N3" i="14"/>
  <c r="I4" i="15"/>
  <c r="H5" i="14"/>
  <c r="I3" i="9"/>
  <c r="G5" i="9"/>
  <c r="G21" i="10"/>
  <c r="G20" i="13"/>
  <c r="G3" i="14"/>
  <c r="I5" i="15"/>
  <c r="H6" i="11"/>
  <c r="H4" i="9"/>
  <c r="G22" i="10"/>
  <c r="H22" i="12"/>
  <c r="H3" i="11"/>
  <c r="G21" i="13"/>
  <c r="I22" i="8"/>
  <c r="I6" i="11"/>
  <c r="I4" i="9"/>
  <c r="H6" i="9"/>
  <c r="H19" i="10"/>
  <c r="H19" i="11"/>
  <c r="G22" i="13"/>
  <c r="G20" i="14"/>
  <c r="H3" i="15"/>
  <c r="N19" i="11"/>
  <c r="I4" i="13"/>
  <c r="H20" i="10"/>
  <c r="I20" i="12"/>
  <c r="H20" i="11"/>
  <c r="H3" i="13"/>
  <c r="H4" i="15"/>
  <c r="I21" i="12"/>
  <c r="H21" i="11"/>
  <c r="H19" i="13"/>
  <c r="G4" i="12"/>
  <c r="I3" i="11"/>
  <c r="H21" i="13"/>
  <c r="H19" i="14"/>
  <c r="H22" i="11"/>
  <c r="H3" i="12"/>
  <c r="G4" i="11"/>
  <c r="H22" i="13"/>
  <c r="H22" i="15"/>
  <c r="N3" i="12"/>
  <c r="G5" i="11"/>
  <c r="I20" i="11"/>
  <c r="I3" i="13"/>
  <c r="I3" i="15"/>
  <c r="H5" i="12"/>
  <c r="I21" i="11"/>
  <c r="H22" i="14"/>
  <c r="G3" i="12"/>
  <c r="I22" i="12"/>
  <c r="G5" i="13"/>
  <c r="H6" i="12"/>
  <c r="G5" i="12"/>
  <c r="G6" i="9"/>
  <c r="G21" i="9"/>
  <c r="H21" i="9"/>
  <c r="G20" i="9"/>
  <c r="I6" i="9"/>
  <c r="H22" i="9"/>
  <c r="G3" i="9"/>
  <c r="I19" i="8"/>
  <c r="I20" i="8"/>
  <c r="I21" i="8"/>
  <c r="H3" i="9"/>
  <c r="H20" i="9"/>
  <c r="I19" i="9"/>
  <c r="I20" i="9"/>
  <c r="I5" i="9"/>
  <c r="I22" i="9"/>
  <c r="G19" i="9"/>
  <c r="G4" i="9"/>
  <c r="N3" i="8"/>
  <c r="N19" i="9"/>
  <c r="G19" i="8"/>
  <c r="G3" i="8"/>
  <c r="H19" i="8"/>
  <c r="H3" i="8"/>
  <c r="G20" i="8"/>
  <c r="G4" i="8"/>
  <c r="H20" i="8"/>
  <c r="G21" i="8"/>
  <c r="G5" i="8"/>
  <c r="H21" i="8"/>
  <c r="H5" i="8"/>
  <c r="G22" i="8"/>
  <c r="G6" i="8"/>
  <c r="H22" i="8"/>
  <c r="H6" i="8"/>
  <c r="H4" i="8"/>
</calcChain>
</file>

<file path=xl/sharedStrings.xml><?xml version="1.0" encoding="utf-8"?>
<sst xmlns="http://schemas.openxmlformats.org/spreadsheetml/2006/main" count="679" uniqueCount="38">
  <si>
    <t>2022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</si>
  <si>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</si>
  <si>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</si>
  <si>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</si>
  <si>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</si>
  <si>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</si>
  <si>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</si>
  <si>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</si>
  <si>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</si>
  <si>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</si>
  <si>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</si>
  <si>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</si>
  <si>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</si>
  <si>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ESPIN</t>
  </si>
  <si>
    <t>LOMBARTE</t>
  </si>
  <si>
    <t>BEÑAT</t>
  </si>
  <si>
    <t>ANTONIO</t>
  </si>
  <si>
    <t>ÁNGEL</t>
  </si>
  <si>
    <t>CORESUR</t>
  </si>
  <si>
    <t>DM</t>
  </si>
  <si>
    <t>ONDIVELA</t>
  </si>
  <si>
    <t>MENSUAL</t>
  </si>
  <si>
    <t>TRIMESTRAL</t>
  </si>
  <si>
    <t>ANUAL</t>
  </si>
  <si>
    <t>NUMÉRICO</t>
  </si>
  <si>
    <t>2023</t>
  </si>
  <si>
    <t>2024</t>
  </si>
  <si>
    <t>2025</t>
  </si>
  <si>
    <t>1ER TRIMESTRE</t>
  </si>
  <si>
    <t>2DO TRIMESTRE</t>
  </si>
  <si>
    <t>3ER TRIMESTRE</t>
  </si>
  <si>
    <t>4TO TRIMESTRE</t>
  </si>
  <si>
    <t>%</t>
  </si>
  <si>
    <t>COMERCIAL</t>
  </si>
  <si>
    <t>MANUEL</t>
  </si>
  <si>
    <t>JUAN ANTONIO</t>
  </si>
  <si>
    <t>DICIEMBRE2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</si>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</sst>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2" borderId="0" xfId="1" applyNumberFormat="1" applyFont="1" applyFill="1"/>
    <xf numFmtId="164" fontId="0" fillId="0" borderId="0" xfId="1" applyNumberFormat="1" applyFont="1" applyFill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164" fontId="0" fillId="0" borderId="0" xfId="0" applyNumberFormat="1"/>
    <xf numFmtId="0" fontId="4" fillId="2" borderId="0" xfId="0" applyFont="1" applyFill="1"/>
    <xf numFmtId="164" fontId="0" fillId="3" borderId="2" xfId="1" applyNumberFormat="1" applyFont="1" applyFill="1" applyBorder="1"/>
    <xf numFmtId="164" fontId="0" fillId="0" borderId="2" xfId="1" applyNumberFormat="1" applyFont="1" applyBorder="1"/>
    <xf numFmtId="0" fontId="0" fillId="3" borderId="0" xfId="0" applyFill="1"/>
    <xf numFmtId="0" fontId="3" fillId="4" borderId="3" xfId="0" applyFont="1" applyFill="1" applyBorder="1"/>
    <xf numFmtId="10" fontId="0" fillId="3" borderId="2" xfId="1" applyNumberFormat="1" applyFont="1" applyFill="1" applyBorder="1"/>
    <xf numFmtId="10" fontId="0" fillId="0" borderId="2" xfId="1" applyNumberFormat="1" applyFont="1" applyBorder="1"/>
    <xf numFmtId="10" fontId="0" fillId="0" borderId="0" xfId="0" applyNumberFormat="1"/>
    <xf numFmtId="164" fontId="5" fillId="3" borderId="2" xfId="1" applyNumberFormat="1" applyFont="1" applyFill="1" applyBorder="1"/>
    <xf numFmtId="164" fontId="0" fillId="0" borderId="2" xfId="1" applyNumberFormat="1" applyFont="1" applyFill="1" applyBorder="1"/>
    <xf numFmtId="10" fontId="0" fillId="5" borderId="2" xfId="1" applyNumberFormat="1" applyFont="1" applyFill="1" applyBorder="1"/>
    <xf numFmtId="10" fontId="0" fillId="5" borderId="0" xfId="0" applyNumberFormat="1" applyFill="1"/>
    <xf numFmtId="10" fontId="0" fillId="0" borderId="2" xfId="1" applyNumberFormat="1" applyFont="1" applyFill="1" applyBorder="1"/>
    <xf numFmtId="9" fontId="0" fillId="0" borderId="2" xfId="2" applyFont="1" applyBorder="1"/>
    <xf numFmtId="9" fontId="0" fillId="0" borderId="0" xfId="2" applyFont="1"/>
    <xf numFmtId="9" fontId="0" fillId="3" borderId="2" xfId="2" applyFont="1" applyFill="1" applyBorder="1"/>
    <xf numFmtId="9" fontId="0" fillId="0" borderId="2" xfId="2" applyFont="1" applyFill="1" applyBorder="1"/>
    <xf numFmtId="9" fontId="0" fillId="6" borderId="2" xfId="2" applyFont="1" applyFill="1" applyBorder="1"/>
    <xf numFmtId="9" fontId="0" fillId="5" borderId="2" xfId="2" applyFont="1" applyFill="1" applyBorder="1"/>
    <xf numFmtId="9" fontId="0" fillId="0" borderId="0" xfId="0" applyNumberFormat="1"/>
    <xf numFmtId="9" fontId="0" fillId="0" borderId="0" xfId="2" applyFont="1" applyFill="1"/>
    <xf numFmtId="9" fontId="0" fillId="5" borderId="0" xfId="2" applyFont="1" applyFill="1"/>
    <xf numFmtId="0" fontId="3" fillId="0" borderId="3" xfId="0" applyFont="1" applyBorder="1"/>
    <xf numFmtId="165" fontId="0" fillId="0" borderId="2" xfId="2" applyNumberFormat="1" applyFont="1" applyFill="1" applyBorder="1"/>
    <xf numFmtId="9" fontId="6" fillId="0" borderId="0" xfId="2" applyFont="1" applyFill="1"/>
    <xf numFmtId="9" fontId="0" fillId="0" borderId="2" xfId="1" applyNumberFormat="1" applyFont="1" applyFill="1" applyBorder="1"/>
    <xf numFmtId="0" fontId="0" fillId="0" borderId="4" xfId="0" applyBorder="1"/>
    <xf numFmtId="164" fontId="0" fillId="0" borderId="0" xfId="1" applyNumberFormat="1" applyFont="1" applyFill="1" applyBorder="1"/>
    <xf numFmtId="165" fontId="0" fillId="0" borderId="0" xfId="0" applyNumberFormat="1"/>
    <xf numFmtId="0" fontId="0" fillId="3" borderId="1" xfId="0" applyFill="1" applyBorder="1"/>
    <xf numFmtId="0" fontId="0" fillId="2" borderId="1" xfId="0" applyFill="1" applyBorder="1"/>
    <xf numFmtId="164" fontId="0" fillId="2" borderId="2" xfId="0" applyNumberFormat="1" applyFill="1" applyBorder="1"/>
    <xf numFmtId="164" fontId="0" fillId="2" borderId="2" xfId="1" applyNumberFormat="1" applyFont="1" applyFill="1" applyBorder="1"/>
    <xf numFmtId="164" fontId="0" fillId="2" borderId="5" xfId="1" applyNumberFormat="1" applyFont="1" applyFill="1" applyBorder="1"/>
    <xf numFmtId="164" fontId="0" fillId="0" borderId="5" xfId="1" applyNumberFormat="1" applyFont="1" applyBorder="1"/>
    <xf numFmtId="164" fontId="0" fillId="3" borderId="5" xfId="1" applyNumberFormat="1" applyFont="1" applyFill="1" applyBorder="1"/>
    <xf numFmtId="164" fontId="0" fillId="0" borderId="2" xfId="0" applyNumberFormat="1" applyBorder="1"/>
    <xf numFmtId="164" fontId="0" fillId="3" borderId="2" xfId="0" applyNumberForma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367"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4" formatCode="0.0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4" formatCode="0.0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4"/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numFmt numFmtId="13" formatCode="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13" formatCode="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4" formatCode="0.00%"/>
    </dxf>
    <dxf>
      <numFmt numFmtId="14" formatCode="0.00%"/>
    </dxf>
    <dxf>
      <numFmt numFmtId="14" formatCode="0.00%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indexed="65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'MENSUAL COMERCIALES'!$A$2</c:f>
              <c:strCache>
                <c:ptCount val="1"/>
                <c:pt idx="0">
                  <c:v>ESPIN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COMERCIALES'!$B$2:$M$2</c:f>
              <c:numCache>
                <c:formatCode>_-* #,##0\ "€"_-;\-* #,##0\ "€"_-;_-* "-"??\ "€"_-;_-@_-</c:formatCode>
                <c:ptCount val="12"/>
                <c:pt idx="0">
                  <c:v>51210</c:v>
                </c:pt>
                <c:pt idx="1">
                  <c:v>107519</c:v>
                </c:pt>
                <c:pt idx="2">
                  <c:v>57374</c:v>
                </c:pt>
                <c:pt idx="3">
                  <c:v>43867</c:v>
                </c:pt>
                <c:pt idx="4">
                  <c:v>29904</c:v>
                </c:pt>
                <c:pt idx="5">
                  <c:v>43063</c:v>
                </c:pt>
                <c:pt idx="6">
                  <c:v>53987</c:v>
                </c:pt>
                <c:pt idx="7">
                  <c:v>23982</c:v>
                </c:pt>
                <c:pt idx="8">
                  <c:v>25568</c:v>
                </c:pt>
                <c:pt idx="9">
                  <c:v>39619</c:v>
                </c:pt>
                <c:pt idx="10">
                  <c:v>34588</c:v>
                </c:pt>
                <c:pt idx="11">
                  <c:v>22344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1-4D5E-92C8-446DEA1A6592}"/>
            </c:ext>
          </c:extLst>
        </c:ser>
        <c:ser>
          <c:idx val="1"/>
          <c:order val="1"/>
          <c:tx>
            <c:strRef>
              <c:f>'MENSUAL COMERCIALES'!$A$3</c:f>
              <c:strCache>
                <c:ptCount val="1"/>
                <c:pt idx="0">
                  <c:v>LOMBARTE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COMERCIALES'!$B$3:$M$3</c:f>
              <c:numCache>
                <c:formatCode>_-* #,##0\ "€"_-;\-* #,##0\ "€"_-;_-* "-"??\ "€"_-;_-@_-</c:formatCode>
                <c:ptCount val="12"/>
                <c:pt idx="0">
                  <c:v>2236</c:v>
                </c:pt>
                <c:pt idx="1">
                  <c:v>14216</c:v>
                </c:pt>
                <c:pt idx="2">
                  <c:v>9311</c:v>
                </c:pt>
                <c:pt idx="3">
                  <c:v>7327</c:v>
                </c:pt>
                <c:pt idx="4">
                  <c:v>5195</c:v>
                </c:pt>
                <c:pt idx="5">
                  <c:v>3760</c:v>
                </c:pt>
                <c:pt idx="6">
                  <c:v>9068</c:v>
                </c:pt>
                <c:pt idx="7">
                  <c:v>1877</c:v>
                </c:pt>
                <c:pt idx="8">
                  <c:v>4952</c:v>
                </c:pt>
                <c:pt idx="9">
                  <c:v>6898</c:v>
                </c:pt>
                <c:pt idx="10">
                  <c:v>5047</c:v>
                </c:pt>
                <c:pt idx="11">
                  <c:v>3261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1-4D5E-92C8-446DEA1A6592}"/>
            </c:ext>
          </c:extLst>
        </c:ser>
        <c:ser>
          <c:idx val="2"/>
          <c:order val="2"/>
          <c:tx>
            <c:strRef>
              <c:f>'MENSUAL COMERCIALES'!$A$4</c:f>
              <c:strCache>
                <c:ptCount val="1"/>
                <c:pt idx="0">
                  <c:v>BEÑAT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COMERCIALES'!$B$4:$M$4</c:f>
              <c:numCache>
                <c:formatCode>_-* #,##0\ "€"_-;\-* #,##0\ "€"_-;_-* "-"??\ "€"_-;_-@_-</c:formatCode>
                <c:ptCount val="12"/>
                <c:pt idx="0">
                  <c:v>0</c:v>
                </c:pt>
                <c:pt idx="1">
                  <c:v>2492</c:v>
                </c:pt>
                <c:pt idx="2">
                  <c:v>14185</c:v>
                </c:pt>
                <c:pt idx="3">
                  <c:v>3790</c:v>
                </c:pt>
                <c:pt idx="4">
                  <c:v>2576</c:v>
                </c:pt>
                <c:pt idx="5">
                  <c:v>4993</c:v>
                </c:pt>
                <c:pt idx="6">
                  <c:v>2079</c:v>
                </c:pt>
                <c:pt idx="7">
                  <c:v>3586</c:v>
                </c:pt>
                <c:pt idx="8">
                  <c:v>8925</c:v>
                </c:pt>
                <c:pt idx="9">
                  <c:v>7024</c:v>
                </c:pt>
                <c:pt idx="10">
                  <c:v>2198</c:v>
                </c:pt>
                <c:pt idx="11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1-4D5E-92C8-446DEA1A6592}"/>
            </c:ext>
          </c:extLst>
        </c:ser>
        <c:ser>
          <c:idx val="3"/>
          <c:order val="3"/>
          <c:tx>
            <c:strRef>
              <c:f>'MENSUAL COMERCIALES'!$A$5</c:f>
              <c:strCache>
                <c:ptCount val="1"/>
                <c:pt idx="0">
                  <c:v>ANTONIO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COMERCIALES'!$B$5:$M$5</c:f>
              <c:numCache>
                <c:formatCode>_-* #,##0\ "€"_-;\-* #,##0\ "€"_-;_-* "-"??\ "€"_-;_-@_-</c:formatCode>
                <c:ptCount val="12"/>
                <c:pt idx="0">
                  <c:v>796</c:v>
                </c:pt>
                <c:pt idx="1">
                  <c:v>19059</c:v>
                </c:pt>
                <c:pt idx="2">
                  <c:v>16552</c:v>
                </c:pt>
                <c:pt idx="3">
                  <c:v>6899</c:v>
                </c:pt>
                <c:pt idx="4">
                  <c:v>24952</c:v>
                </c:pt>
                <c:pt idx="5">
                  <c:v>7879</c:v>
                </c:pt>
                <c:pt idx="6">
                  <c:v>13434</c:v>
                </c:pt>
                <c:pt idx="7">
                  <c:v>13940</c:v>
                </c:pt>
                <c:pt idx="8">
                  <c:v>4492</c:v>
                </c:pt>
                <c:pt idx="9">
                  <c:v>15225</c:v>
                </c:pt>
                <c:pt idx="10">
                  <c:v>13743</c:v>
                </c:pt>
                <c:pt idx="11">
                  <c:v>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1-4D5E-92C8-446DEA1A6592}"/>
            </c:ext>
          </c:extLst>
        </c:ser>
        <c:ser>
          <c:idx val="4"/>
          <c:order val="4"/>
          <c:tx>
            <c:strRef>
              <c:f>'MENSUAL COMERCIALES'!$A$6</c:f>
              <c:strCache>
                <c:ptCount val="1"/>
                <c:pt idx="0">
                  <c:v>ÁNGEL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COMERCIALES'!$B$6:$M$6</c:f>
              <c:numCache>
                <c:formatCode>_-* #,##0\ "€"_-;\-* #,##0\ "€"_-;_-* "-"??\ "€"_-;_-@_-</c:formatCode>
                <c:ptCount val="12"/>
                <c:pt idx="0">
                  <c:v>3535</c:v>
                </c:pt>
                <c:pt idx="1">
                  <c:v>32480</c:v>
                </c:pt>
                <c:pt idx="2">
                  <c:v>5674</c:v>
                </c:pt>
                <c:pt idx="3">
                  <c:v>22212</c:v>
                </c:pt>
                <c:pt idx="4">
                  <c:v>9723</c:v>
                </c:pt>
                <c:pt idx="5">
                  <c:v>23041</c:v>
                </c:pt>
                <c:pt idx="6">
                  <c:v>9672</c:v>
                </c:pt>
                <c:pt idx="7">
                  <c:v>4463</c:v>
                </c:pt>
                <c:pt idx="8">
                  <c:v>18975</c:v>
                </c:pt>
                <c:pt idx="9">
                  <c:v>23585</c:v>
                </c:pt>
                <c:pt idx="10">
                  <c:v>14178</c:v>
                </c:pt>
                <c:pt idx="11">
                  <c:v>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C1-4D5E-92C8-446DEA1A6592}"/>
            </c:ext>
          </c:extLst>
        </c:ser>
        <c:ser>
          <c:idx val="5"/>
          <c:order val="5"/>
          <c:tx>
            <c:strRef>
              <c:f>'MENSUAL COMERCIALES'!$A$7</c:f>
              <c:strCache>
                <c:ptCount val="1"/>
                <c:pt idx="0">
                  <c:v>CORESUR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COMERCIALES'!$B$7:$M$7</c:f>
              <c:numCache>
                <c:formatCode>_-* #,##0\ "€"_-;\-* #,##0\ "€"_-;_-* "-"??\ "€"_-;_-@_-</c:formatCode>
                <c:ptCount val="12"/>
                <c:pt idx="0">
                  <c:v>8066</c:v>
                </c:pt>
                <c:pt idx="1">
                  <c:v>13909</c:v>
                </c:pt>
                <c:pt idx="2">
                  <c:v>7463</c:v>
                </c:pt>
                <c:pt idx="3">
                  <c:v>11229</c:v>
                </c:pt>
                <c:pt idx="4">
                  <c:v>9383</c:v>
                </c:pt>
                <c:pt idx="5">
                  <c:v>5668</c:v>
                </c:pt>
                <c:pt idx="6">
                  <c:v>2258</c:v>
                </c:pt>
                <c:pt idx="7">
                  <c:v>5140</c:v>
                </c:pt>
                <c:pt idx="8">
                  <c:v>8405</c:v>
                </c:pt>
                <c:pt idx="9">
                  <c:v>5159</c:v>
                </c:pt>
                <c:pt idx="10">
                  <c:v>3165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C1-4D5E-92C8-446DEA1A6592}"/>
            </c:ext>
          </c:extLst>
        </c:ser>
        <c:ser>
          <c:idx val="6"/>
          <c:order val="6"/>
          <c:tx>
            <c:strRef>
              <c:f>'MENSUAL COMERCIALES'!$A$8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COMERCIALES'!$B$8:$M$8</c:f>
              <c:numCache>
                <c:formatCode>_-* #,##0\ "€"_-;\-* #,##0\ "€"_-;_-* "-"??\ "€"_-;_-@_-</c:formatCode>
                <c:ptCount val="12"/>
                <c:pt idx="0">
                  <c:v>4991</c:v>
                </c:pt>
                <c:pt idx="1">
                  <c:v>34922</c:v>
                </c:pt>
                <c:pt idx="2">
                  <c:v>34129</c:v>
                </c:pt>
                <c:pt idx="3">
                  <c:v>11765</c:v>
                </c:pt>
                <c:pt idx="4">
                  <c:v>24961</c:v>
                </c:pt>
                <c:pt idx="5">
                  <c:v>7694</c:v>
                </c:pt>
                <c:pt idx="6">
                  <c:v>15925</c:v>
                </c:pt>
                <c:pt idx="7">
                  <c:v>5270</c:v>
                </c:pt>
                <c:pt idx="8">
                  <c:v>5923</c:v>
                </c:pt>
                <c:pt idx="9">
                  <c:v>12731</c:v>
                </c:pt>
                <c:pt idx="10">
                  <c:v>11452</c:v>
                </c:pt>
                <c:pt idx="11">
                  <c:v>10768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C1-4D5E-92C8-446DEA1A6592}"/>
            </c:ext>
          </c:extLst>
        </c:ser>
        <c:ser>
          <c:idx val="7"/>
          <c:order val="7"/>
          <c:tx>
            <c:strRef>
              <c:f>'MENSUAL COMERCIALES'!$A$9</c:f>
              <c:strCache>
                <c:ptCount val="1"/>
                <c:pt idx="0">
                  <c:v>ONDIVELA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'MENSUAL COMERCIALES'!$B$9:$M$9</c:f>
              <c:numCache>
                <c:formatCode>_-* #,##0\ "€"_-;\-* #,##0\ "€"_-;_-* "-"??\ "€"_-;_-@_-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C1-4D5E-92C8-446DEA1A6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426895"/>
        <c:axId val="1397425935"/>
      </c:barChart>
      <c:catAx>
        <c:axId val="139742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7425935"/>
        <c:crosses val="autoZero"/>
        <c:auto val="1"/>
        <c:lblAlgn val="ctr"/>
        <c:lblOffset val="100"/>
        <c:noMultiLvlLbl val="0"/>
      </c:catAx>
      <c:valAx>
        <c:axId val="139742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742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'MENSUAL COMERCIALES'!$A$13</c:f>
              <c:strCache>
                <c:ptCount val="1"/>
                <c:pt idx="0">
                  <c:v>ESPIN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COMERCIALES'!$B$13:$M$13</c:f>
              <c:numCache>
                <c:formatCode>_-* #,##0\ "€"_-;\-* #,##0\ "€"_-;_-* "-"??\ "€"_-;_-@_-</c:formatCode>
                <c:ptCount val="12"/>
                <c:pt idx="0">
                  <c:v>48832</c:v>
                </c:pt>
                <c:pt idx="1">
                  <c:v>24511</c:v>
                </c:pt>
                <c:pt idx="2">
                  <c:v>58251</c:v>
                </c:pt>
                <c:pt idx="3">
                  <c:v>16659</c:v>
                </c:pt>
                <c:pt idx="4">
                  <c:v>42496</c:v>
                </c:pt>
                <c:pt idx="5">
                  <c:v>16329</c:v>
                </c:pt>
                <c:pt idx="6">
                  <c:v>34824</c:v>
                </c:pt>
                <c:pt idx="7">
                  <c:v>13051</c:v>
                </c:pt>
                <c:pt idx="8">
                  <c:v>47088</c:v>
                </c:pt>
                <c:pt idx="9">
                  <c:v>41185</c:v>
                </c:pt>
                <c:pt idx="10">
                  <c:v>35806</c:v>
                </c:pt>
                <c:pt idx="11">
                  <c:v>20392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9-4431-BA58-6056C8C5686B}"/>
            </c:ext>
          </c:extLst>
        </c:ser>
        <c:ser>
          <c:idx val="1"/>
          <c:order val="1"/>
          <c:tx>
            <c:strRef>
              <c:f>'MENSUAL COMERCIALES'!$A$14</c:f>
              <c:strCache>
                <c:ptCount val="1"/>
                <c:pt idx="0">
                  <c:v>LOMBARTE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COMERCIALES'!$B$14:$M$14</c:f>
              <c:numCache>
                <c:formatCode>_-* #,##0\ "€"_-;\-* #,##0\ "€"_-;_-* "-"??\ "€"_-;_-@_-</c:formatCode>
                <c:ptCount val="12"/>
                <c:pt idx="0">
                  <c:v>3555</c:v>
                </c:pt>
                <c:pt idx="1">
                  <c:v>2593</c:v>
                </c:pt>
                <c:pt idx="2">
                  <c:v>15516</c:v>
                </c:pt>
                <c:pt idx="3">
                  <c:v>1042</c:v>
                </c:pt>
                <c:pt idx="4">
                  <c:v>5783</c:v>
                </c:pt>
                <c:pt idx="5">
                  <c:v>12142</c:v>
                </c:pt>
                <c:pt idx="6">
                  <c:v>2961</c:v>
                </c:pt>
                <c:pt idx="7">
                  <c:v>2382</c:v>
                </c:pt>
                <c:pt idx="8">
                  <c:v>4453</c:v>
                </c:pt>
                <c:pt idx="9">
                  <c:v>5684</c:v>
                </c:pt>
                <c:pt idx="10">
                  <c:v>6903</c:v>
                </c:pt>
                <c:pt idx="11">
                  <c:v>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9-4431-BA58-6056C8C5686B}"/>
            </c:ext>
          </c:extLst>
        </c:ser>
        <c:ser>
          <c:idx val="2"/>
          <c:order val="2"/>
          <c:tx>
            <c:strRef>
              <c:f>'MENSUAL COMERCIALES'!$A$15</c:f>
              <c:strCache>
                <c:ptCount val="1"/>
                <c:pt idx="0">
                  <c:v>BEÑAT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COMERCIALES'!$B$15:$M$15</c:f>
              <c:numCache>
                <c:formatCode>_-* #,##0\ "€"_-;\-* #,##0\ "€"_-;_-* "-"??\ "€"_-;_-@_-</c:formatCode>
                <c:ptCount val="12"/>
                <c:pt idx="0">
                  <c:v>7602</c:v>
                </c:pt>
                <c:pt idx="1">
                  <c:v>963</c:v>
                </c:pt>
                <c:pt idx="2">
                  <c:v>10400</c:v>
                </c:pt>
                <c:pt idx="3">
                  <c:v>0</c:v>
                </c:pt>
                <c:pt idx="4">
                  <c:v>1701</c:v>
                </c:pt>
                <c:pt idx="5">
                  <c:v>1510</c:v>
                </c:pt>
                <c:pt idx="6">
                  <c:v>3822</c:v>
                </c:pt>
                <c:pt idx="7">
                  <c:v>1378</c:v>
                </c:pt>
                <c:pt idx="8">
                  <c:v>4637</c:v>
                </c:pt>
                <c:pt idx="9">
                  <c:v>838</c:v>
                </c:pt>
                <c:pt idx="10">
                  <c:v>15019</c:v>
                </c:pt>
                <c:pt idx="11">
                  <c:v>11752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B9-4431-BA58-6056C8C5686B}"/>
            </c:ext>
          </c:extLst>
        </c:ser>
        <c:ser>
          <c:idx val="3"/>
          <c:order val="3"/>
          <c:tx>
            <c:strRef>
              <c:f>'MENSUAL COMERCIALES'!$A$16</c:f>
              <c:strCache>
                <c:ptCount val="1"/>
                <c:pt idx="0">
                  <c:v>ANTONIO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COMERCIALES'!$B$16:$M$16</c:f>
              <c:numCache>
                <c:formatCode>_-* #,##0\ "€"_-;\-* #,##0\ "€"_-;_-* "-"??\ "€"_-;_-@_-</c:formatCode>
                <c:ptCount val="12"/>
                <c:pt idx="0">
                  <c:v>13590</c:v>
                </c:pt>
                <c:pt idx="1">
                  <c:v>6341</c:v>
                </c:pt>
                <c:pt idx="2">
                  <c:v>16428</c:v>
                </c:pt>
                <c:pt idx="3">
                  <c:v>2430</c:v>
                </c:pt>
                <c:pt idx="4">
                  <c:v>7017</c:v>
                </c:pt>
                <c:pt idx="5">
                  <c:v>4760</c:v>
                </c:pt>
                <c:pt idx="6">
                  <c:v>2338</c:v>
                </c:pt>
                <c:pt idx="7">
                  <c:v>17534</c:v>
                </c:pt>
                <c:pt idx="8">
                  <c:v>8900</c:v>
                </c:pt>
                <c:pt idx="9">
                  <c:v>10613</c:v>
                </c:pt>
                <c:pt idx="10">
                  <c:v>7931</c:v>
                </c:pt>
                <c:pt idx="11">
                  <c:v>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B9-4431-BA58-6056C8C5686B}"/>
            </c:ext>
          </c:extLst>
        </c:ser>
        <c:ser>
          <c:idx val="4"/>
          <c:order val="4"/>
          <c:tx>
            <c:strRef>
              <c:f>'MENSUAL COMERCIALES'!$A$17</c:f>
              <c:strCache>
                <c:ptCount val="1"/>
                <c:pt idx="0">
                  <c:v>ÁNGEL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COMERCIALES'!$B$17:$M$17</c:f>
              <c:numCache>
                <c:formatCode>_-* #,##0\ "€"_-;\-* #,##0\ "€"_-;_-* "-"??\ "€"_-;_-@_-</c:formatCode>
                <c:ptCount val="12"/>
                <c:pt idx="0">
                  <c:v>30213</c:v>
                </c:pt>
                <c:pt idx="1">
                  <c:v>17859</c:v>
                </c:pt>
                <c:pt idx="2">
                  <c:v>15798</c:v>
                </c:pt>
                <c:pt idx="3">
                  <c:v>14472</c:v>
                </c:pt>
                <c:pt idx="4">
                  <c:v>7832</c:v>
                </c:pt>
                <c:pt idx="5">
                  <c:v>8595</c:v>
                </c:pt>
                <c:pt idx="6">
                  <c:v>10475</c:v>
                </c:pt>
                <c:pt idx="7">
                  <c:v>11027</c:v>
                </c:pt>
                <c:pt idx="8">
                  <c:v>18932</c:v>
                </c:pt>
                <c:pt idx="9">
                  <c:v>17110</c:v>
                </c:pt>
                <c:pt idx="10">
                  <c:v>9368</c:v>
                </c:pt>
                <c:pt idx="11">
                  <c:v>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9-4431-BA58-6056C8C5686B}"/>
            </c:ext>
          </c:extLst>
        </c:ser>
        <c:ser>
          <c:idx val="5"/>
          <c:order val="5"/>
          <c:tx>
            <c:strRef>
              <c:f>'MENSUAL COMERCIALES'!$A$18</c:f>
              <c:strCache>
                <c:ptCount val="1"/>
                <c:pt idx="0">
                  <c:v>CORESUR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COMERCIALES'!$B$18:$M$18</c:f>
              <c:numCache>
                <c:formatCode>_-* #,##0\ "€"_-;\-* #,##0\ "€"_-;_-* "-"??\ "€"_-;_-@_-</c:formatCode>
                <c:ptCount val="12"/>
                <c:pt idx="0">
                  <c:v>6924</c:v>
                </c:pt>
                <c:pt idx="1">
                  <c:v>5435</c:v>
                </c:pt>
                <c:pt idx="2">
                  <c:v>8528</c:v>
                </c:pt>
                <c:pt idx="3">
                  <c:v>2739</c:v>
                </c:pt>
                <c:pt idx="4">
                  <c:v>4227</c:v>
                </c:pt>
                <c:pt idx="5">
                  <c:v>1809</c:v>
                </c:pt>
                <c:pt idx="6">
                  <c:v>7338</c:v>
                </c:pt>
                <c:pt idx="7">
                  <c:v>1686</c:v>
                </c:pt>
                <c:pt idx="8">
                  <c:v>3603</c:v>
                </c:pt>
                <c:pt idx="9">
                  <c:v>2327</c:v>
                </c:pt>
                <c:pt idx="10">
                  <c:v>7805</c:v>
                </c:pt>
                <c:pt idx="11">
                  <c:v>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B9-4431-BA58-6056C8C5686B}"/>
            </c:ext>
          </c:extLst>
        </c:ser>
        <c:ser>
          <c:idx val="6"/>
          <c:order val="6"/>
          <c:tx>
            <c:strRef>
              <c:f>'MENSUAL COMERCIALES'!$A$19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COMERCIALES'!$B$19:$M$19</c:f>
              <c:numCache>
                <c:formatCode>_-* #,##0\ "€"_-;\-* #,##0\ "€"_-;_-* "-"??\ "€"_-;_-@_-</c:formatCode>
                <c:ptCount val="12"/>
                <c:pt idx="0">
                  <c:v>13347</c:v>
                </c:pt>
                <c:pt idx="1">
                  <c:v>15566</c:v>
                </c:pt>
                <c:pt idx="2">
                  <c:v>11993</c:v>
                </c:pt>
                <c:pt idx="3">
                  <c:v>2756</c:v>
                </c:pt>
                <c:pt idx="4">
                  <c:v>17225</c:v>
                </c:pt>
                <c:pt idx="5">
                  <c:v>5443</c:v>
                </c:pt>
                <c:pt idx="6">
                  <c:v>3354</c:v>
                </c:pt>
                <c:pt idx="7">
                  <c:v>9417</c:v>
                </c:pt>
                <c:pt idx="8">
                  <c:v>13287</c:v>
                </c:pt>
                <c:pt idx="9">
                  <c:v>11334</c:v>
                </c:pt>
                <c:pt idx="10">
                  <c:v>10914</c:v>
                </c:pt>
                <c:pt idx="11">
                  <c:v>15346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B9-4431-BA58-6056C8C5686B}"/>
            </c:ext>
          </c:extLst>
        </c:ser>
        <c:ser>
          <c:idx val="7"/>
          <c:order val="7"/>
          <c:tx>
            <c:strRef>
              <c:f>'MENSUAL COMERCIALES'!$A$20</c:f>
              <c:strCache>
                <c:ptCount val="1"/>
                <c:pt idx="0">
                  <c:v>ONDIVELA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COMERCIALES'!$B$12:$M$12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COMERCIALES'!$B$20:$M$20</c:f>
              <c:numCache>
                <c:formatCode>_-* #,##0\ "€"_-;\-* #,##0\ "€"_-;_-* "-"??\ "€"_-;_-@_-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B9-4431-BA58-6056C8C56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205567"/>
        <c:axId val="1432200287"/>
      </c:barChart>
      <c:catAx>
        <c:axId val="143220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2200287"/>
        <c:crosses val="autoZero"/>
        <c:auto val="1"/>
        <c:lblAlgn val="ctr"/>
        <c:lblOffset val="100"/>
        <c:noMultiLvlLbl val="0"/>
      </c:catAx>
      <c:valAx>
        <c:axId val="14322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220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'MENSUAL COMERCIALES'!$A$24</c:f>
              <c:strCache>
                <c:ptCount val="1"/>
                <c:pt idx="0">
                  <c:v>ESPIN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COMERCIALES'!$B$24:$M$24</c:f>
              <c:numCache>
                <c:formatCode>_-* #,##0\ "€"_-;\-* #,##0\ "€"_-;_-* "-"??\ "€"_-;_-@_-</c:formatCode>
                <c:ptCount val="12"/>
                <c:pt idx="0">
                  <c:v>39541</c:v>
                </c:pt>
                <c:pt idx="1">
                  <c:v>36619</c:v>
                </c:pt>
                <c:pt idx="2">
                  <c:v>28376</c:v>
                </c:pt>
                <c:pt idx="3">
                  <c:v>47741</c:v>
                </c:pt>
                <c:pt idx="4">
                  <c:v>26198</c:v>
                </c:pt>
                <c:pt idx="5">
                  <c:v>16926</c:v>
                </c:pt>
                <c:pt idx="6">
                  <c:v>21214</c:v>
                </c:pt>
                <c:pt idx="7">
                  <c:v>61772</c:v>
                </c:pt>
                <c:pt idx="8">
                  <c:v>28572</c:v>
                </c:pt>
                <c:pt idx="9">
                  <c:v>40115</c:v>
                </c:pt>
                <c:pt idx="10">
                  <c:v>25901</c:v>
                </c:pt>
                <c:pt idx="11">
                  <c:v>26931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E-469F-91FA-827047582F6C}"/>
            </c:ext>
          </c:extLst>
        </c:ser>
        <c:ser>
          <c:idx val="1"/>
          <c:order val="1"/>
          <c:tx>
            <c:strRef>
              <c:f>'MENSUAL COMERCIALES'!$A$25</c:f>
              <c:strCache>
                <c:ptCount val="1"/>
                <c:pt idx="0">
                  <c:v>LOMBARTE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COMERCIALES'!$B$25:$M$25</c:f>
              <c:numCache>
                <c:formatCode>_-* #,##0\ "€"_-;\-* #,##0\ "€"_-;_-* "-"??\ "€"_-;_-@_-</c:formatCode>
                <c:ptCount val="12"/>
                <c:pt idx="0">
                  <c:v>8151</c:v>
                </c:pt>
                <c:pt idx="1">
                  <c:v>4705</c:v>
                </c:pt>
                <c:pt idx="2">
                  <c:v>3034</c:v>
                </c:pt>
                <c:pt idx="3">
                  <c:v>8913</c:v>
                </c:pt>
                <c:pt idx="4">
                  <c:v>6094</c:v>
                </c:pt>
                <c:pt idx="5">
                  <c:v>1388</c:v>
                </c:pt>
                <c:pt idx="6">
                  <c:v>6521</c:v>
                </c:pt>
                <c:pt idx="7">
                  <c:v>5847</c:v>
                </c:pt>
                <c:pt idx="8">
                  <c:v>7347</c:v>
                </c:pt>
                <c:pt idx="9">
                  <c:v>3640</c:v>
                </c:pt>
                <c:pt idx="10">
                  <c:v>6432</c:v>
                </c:pt>
                <c:pt idx="11">
                  <c:v>3534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E-469F-91FA-827047582F6C}"/>
            </c:ext>
          </c:extLst>
        </c:ser>
        <c:ser>
          <c:idx val="2"/>
          <c:order val="2"/>
          <c:tx>
            <c:strRef>
              <c:f>'MENSUAL COMERCIALES'!$A$26</c:f>
              <c:strCache>
                <c:ptCount val="1"/>
                <c:pt idx="0">
                  <c:v>BEÑAT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COMERCIALES'!$B$26:$M$26</c:f>
              <c:numCache>
                <c:formatCode>_-* #,##0\ "€"_-;\-* #,##0\ "€"_-;_-* "-"??\ "€"_-;_-@_-</c:formatCode>
                <c:ptCount val="12"/>
                <c:pt idx="0">
                  <c:v>249</c:v>
                </c:pt>
                <c:pt idx="1">
                  <c:v>5998</c:v>
                </c:pt>
                <c:pt idx="2">
                  <c:v>0</c:v>
                </c:pt>
                <c:pt idx="3">
                  <c:v>3343</c:v>
                </c:pt>
                <c:pt idx="4">
                  <c:v>3051</c:v>
                </c:pt>
                <c:pt idx="5">
                  <c:v>1210</c:v>
                </c:pt>
                <c:pt idx="6">
                  <c:v>3454</c:v>
                </c:pt>
                <c:pt idx="7">
                  <c:v>10102</c:v>
                </c:pt>
                <c:pt idx="8">
                  <c:v>430</c:v>
                </c:pt>
                <c:pt idx="9">
                  <c:v>1351</c:v>
                </c:pt>
                <c:pt idx="10">
                  <c:v>10940</c:v>
                </c:pt>
                <c:pt idx="11">
                  <c:v>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E-469F-91FA-827047582F6C}"/>
            </c:ext>
          </c:extLst>
        </c:ser>
        <c:ser>
          <c:idx val="3"/>
          <c:order val="3"/>
          <c:tx>
            <c:strRef>
              <c:f>'MENSUAL COMERCIALES'!$A$27</c:f>
              <c:strCache>
                <c:ptCount val="1"/>
                <c:pt idx="0">
                  <c:v>ANTONIO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COMERCIALES'!$B$27:$M$27</c:f>
              <c:numCache>
                <c:formatCode>_-* #,##0\ "€"_-;\-* #,##0\ "€"_-;_-* "-"??\ "€"_-;_-@_-</c:formatCode>
                <c:ptCount val="12"/>
                <c:pt idx="0">
                  <c:v>8818</c:v>
                </c:pt>
                <c:pt idx="1">
                  <c:v>4555</c:v>
                </c:pt>
                <c:pt idx="2">
                  <c:v>1884</c:v>
                </c:pt>
                <c:pt idx="3">
                  <c:v>9140</c:v>
                </c:pt>
                <c:pt idx="4">
                  <c:v>11513</c:v>
                </c:pt>
                <c:pt idx="5">
                  <c:v>8794</c:v>
                </c:pt>
                <c:pt idx="6">
                  <c:v>12011</c:v>
                </c:pt>
                <c:pt idx="7">
                  <c:v>10358</c:v>
                </c:pt>
                <c:pt idx="8">
                  <c:v>7891</c:v>
                </c:pt>
                <c:pt idx="9">
                  <c:v>16210</c:v>
                </c:pt>
                <c:pt idx="10">
                  <c:v>3706</c:v>
                </c:pt>
                <c:pt idx="11">
                  <c:v>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4E-469F-91FA-827047582F6C}"/>
            </c:ext>
          </c:extLst>
        </c:ser>
        <c:ser>
          <c:idx val="4"/>
          <c:order val="4"/>
          <c:tx>
            <c:strRef>
              <c:f>'MENSUAL COMERCIALES'!$A$28</c:f>
              <c:strCache>
                <c:ptCount val="1"/>
                <c:pt idx="0">
                  <c:v>ÁNGEL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COMERCIALES'!$B$28:$M$28</c:f>
              <c:numCache>
                <c:formatCode>_-* #,##0\ "€"_-;\-* #,##0\ "€"_-;_-* "-"??\ "€"_-;_-@_-</c:formatCode>
                <c:ptCount val="12"/>
                <c:pt idx="0">
                  <c:v>20568</c:v>
                </c:pt>
                <c:pt idx="1">
                  <c:v>11815</c:v>
                </c:pt>
                <c:pt idx="2">
                  <c:v>3736</c:v>
                </c:pt>
                <c:pt idx="3">
                  <c:v>8751</c:v>
                </c:pt>
                <c:pt idx="4">
                  <c:v>19594</c:v>
                </c:pt>
                <c:pt idx="5">
                  <c:v>1362</c:v>
                </c:pt>
                <c:pt idx="6">
                  <c:v>6951</c:v>
                </c:pt>
                <c:pt idx="7">
                  <c:v>9826</c:v>
                </c:pt>
                <c:pt idx="8">
                  <c:v>5316</c:v>
                </c:pt>
                <c:pt idx="9">
                  <c:v>11125</c:v>
                </c:pt>
                <c:pt idx="10">
                  <c:v>15303</c:v>
                </c:pt>
                <c:pt idx="11">
                  <c:v>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4E-469F-91FA-827047582F6C}"/>
            </c:ext>
          </c:extLst>
        </c:ser>
        <c:ser>
          <c:idx val="5"/>
          <c:order val="5"/>
          <c:tx>
            <c:strRef>
              <c:f>'MENSUAL COMERCIALES'!$A$29</c:f>
              <c:strCache>
                <c:ptCount val="1"/>
                <c:pt idx="0">
                  <c:v>CORESUR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COMERCIALES'!$B$29:$M$29</c:f>
              <c:numCache>
                <c:formatCode>_-* #,##0\ "€"_-;\-* #,##0\ "€"_-;_-* "-"??\ "€"_-;_-@_-</c:formatCode>
                <c:ptCount val="12"/>
                <c:pt idx="0">
                  <c:v>6089</c:v>
                </c:pt>
                <c:pt idx="1">
                  <c:v>2994</c:v>
                </c:pt>
                <c:pt idx="2">
                  <c:v>4720</c:v>
                </c:pt>
                <c:pt idx="3">
                  <c:v>7387</c:v>
                </c:pt>
                <c:pt idx="4">
                  <c:v>8357</c:v>
                </c:pt>
                <c:pt idx="5">
                  <c:v>2445</c:v>
                </c:pt>
                <c:pt idx="6">
                  <c:v>2843</c:v>
                </c:pt>
                <c:pt idx="7">
                  <c:v>2457</c:v>
                </c:pt>
                <c:pt idx="8">
                  <c:v>3477</c:v>
                </c:pt>
                <c:pt idx="9">
                  <c:v>6325</c:v>
                </c:pt>
                <c:pt idx="10">
                  <c:v>2758</c:v>
                </c:pt>
                <c:pt idx="11">
                  <c:v>6237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4E-469F-91FA-827047582F6C}"/>
            </c:ext>
          </c:extLst>
        </c:ser>
        <c:ser>
          <c:idx val="6"/>
          <c:order val="6"/>
          <c:tx>
            <c:strRef>
              <c:f>'MENSUAL COMERCIALES'!$A$30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COMERCIALES'!$B$30:$M$30</c:f>
              <c:numCache>
                <c:formatCode>_-* #,##0\ "€"_-;\-* #,##0\ "€"_-;_-* "-"??\ "€"_-;_-@_-</c:formatCode>
                <c:ptCount val="12"/>
                <c:pt idx="0">
                  <c:v>5561</c:v>
                </c:pt>
                <c:pt idx="1">
                  <c:v>6461</c:v>
                </c:pt>
                <c:pt idx="2">
                  <c:v>14742</c:v>
                </c:pt>
                <c:pt idx="3">
                  <c:v>16600</c:v>
                </c:pt>
                <c:pt idx="4">
                  <c:v>11344</c:v>
                </c:pt>
                <c:pt idx="5">
                  <c:v>6443</c:v>
                </c:pt>
                <c:pt idx="6">
                  <c:v>5167</c:v>
                </c:pt>
                <c:pt idx="7">
                  <c:v>19446</c:v>
                </c:pt>
                <c:pt idx="8">
                  <c:v>9142</c:v>
                </c:pt>
                <c:pt idx="9">
                  <c:v>9201</c:v>
                </c:pt>
                <c:pt idx="10">
                  <c:v>23005</c:v>
                </c:pt>
                <c:pt idx="1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4E-469F-91FA-827047582F6C}"/>
            </c:ext>
          </c:extLst>
        </c:ser>
        <c:ser>
          <c:idx val="7"/>
          <c:order val="7"/>
          <c:tx>
            <c:strRef>
              <c:f>'MENSUAL COMERCIALES'!$A$31</c:f>
              <c:strCache>
                <c:ptCount val="1"/>
                <c:pt idx="0">
                  <c:v>ONDIVELA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COMERCIALES'!$B$23:$M$23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COMERCIALES'!$B$31:$M$31</c:f>
              <c:numCache>
                <c:formatCode>_-* #,##0\ "€"_-;\-* #,##0\ "€"_-;_-* "-"??\ "€"_-;_-@_-</c:formatCode>
                <c:ptCount val="12"/>
                <c:pt idx="0">
                  <c:v>0</c:v>
                </c:pt>
                <c:pt idx="1">
                  <c:v>6424</c:v>
                </c:pt>
                <c:pt idx="2">
                  <c:v>0</c:v>
                </c:pt>
                <c:pt idx="3">
                  <c:v>249</c:v>
                </c:pt>
                <c:pt idx="4">
                  <c:v>1073</c:v>
                </c:pt>
                <c:pt idx="5">
                  <c:v>0</c:v>
                </c:pt>
                <c:pt idx="6">
                  <c:v>0</c:v>
                </c:pt>
                <c:pt idx="7">
                  <c:v>661</c:v>
                </c:pt>
                <c:pt idx="8">
                  <c:v>3419</c:v>
                </c:pt>
                <c:pt idx="9">
                  <c:v>0</c:v>
                </c:pt>
                <c:pt idx="10">
                  <c:v>4140</c:v>
                </c:pt>
                <c:pt idx="11">
                  <c:v>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4E-469F-91FA-827047582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940399"/>
        <c:axId val="1441941359"/>
      </c:barChart>
      <c:catAx>
        <c:axId val="144194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941359"/>
        <c:crosses val="autoZero"/>
        <c:auto val="1"/>
        <c:lblAlgn val="ctr"/>
        <c:lblOffset val="100"/>
        <c:noMultiLvlLbl val="0"/>
      </c:catAx>
      <c:valAx>
        <c:axId val="144194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9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'MENSUAL COMERCIALES'!$A$35</c:f>
              <c:strCache>
                <c:ptCount val="1"/>
                <c:pt idx="0">
                  <c:v>ESPIN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COMERCIALES'!$B$35:$M$35</c:f>
              <c:numCache>
                <c:formatCode>_-* #,##0\ "€"_-;\-* #,##0\ "€"_-;_-* "-"??\ "€"_-;_-@_-</c:formatCode>
                <c:ptCount val="12"/>
                <c:pt idx="0">
                  <c:v>55095</c:v>
                </c:pt>
                <c:pt idx="1">
                  <c:v>18042</c:v>
                </c:pt>
                <c:pt idx="2">
                  <c:v>49988</c:v>
                </c:pt>
                <c:pt idx="3">
                  <c:v>22026</c:v>
                </c:pt>
                <c:pt idx="4">
                  <c:v>15704</c:v>
                </c:pt>
                <c:pt idx="5">
                  <c:v>45785</c:v>
                </c:pt>
                <c:pt idx="6">
                  <c:v>35575</c:v>
                </c:pt>
                <c:pt idx="7">
                  <c:v>25780</c:v>
                </c:pt>
                <c:pt idx="8">
                  <c:v>49904</c:v>
                </c:pt>
                <c:pt idx="9">
                  <c:v>24874</c:v>
                </c:pt>
                <c:pt idx="10">
                  <c:v>18960</c:v>
                </c:pt>
                <c:pt idx="11">
                  <c:v>23517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A-4E54-BABF-B4372CA4A147}"/>
            </c:ext>
          </c:extLst>
        </c:ser>
        <c:ser>
          <c:idx val="1"/>
          <c:order val="1"/>
          <c:tx>
            <c:strRef>
              <c:f>'MENSUAL COMERCIALES'!$A$36</c:f>
              <c:strCache>
                <c:ptCount val="1"/>
                <c:pt idx="0">
                  <c:v>LOMBARTE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COMERCIALES'!$B$36:$M$36</c:f>
              <c:numCache>
                <c:formatCode>_-* #,##0\ "€"_-;\-* #,##0\ "€"_-;_-* "-"??\ "€"_-;_-@_-</c:formatCode>
                <c:ptCount val="12"/>
                <c:pt idx="0">
                  <c:v>6320</c:v>
                </c:pt>
                <c:pt idx="1">
                  <c:v>6046</c:v>
                </c:pt>
                <c:pt idx="2">
                  <c:v>10534</c:v>
                </c:pt>
                <c:pt idx="3">
                  <c:v>5162</c:v>
                </c:pt>
                <c:pt idx="4">
                  <c:v>2954</c:v>
                </c:pt>
                <c:pt idx="5">
                  <c:v>7503</c:v>
                </c:pt>
                <c:pt idx="6">
                  <c:v>4708</c:v>
                </c:pt>
                <c:pt idx="7">
                  <c:v>5804</c:v>
                </c:pt>
                <c:pt idx="8">
                  <c:v>9166</c:v>
                </c:pt>
                <c:pt idx="9">
                  <c:v>7131</c:v>
                </c:pt>
                <c:pt idx="10">
                  <c:v>6731</c:v>
                </c:pt>
                <c:pt idx="11">
                  <c:v>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A-4E54-BABF-B4372CA4A147}"/>
            </c:ext>
          </c:extLst>
        </c:ser>
        <c:ser>
          <c:idx val="2"/>
          <c:order val="2"/>
          <c:tx>
            <c:strRef>
              <c:f>'MENSUAL COMERCIALES'!$A$37</c:f>
              <c:strCache>
                <c:ptCount val="1"/>
                <c:pt idx="0">
                  <c:v>BEÑAT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COMERCIALES'!$B$37:$M$37</c:f>
              <c:numCache>
                <c:formatCode>_-* #,##0\ "€"_-;\-* #,##0\ "€"_-;_-* "-"??\ "€"_-;_-@_-</c:formatCode>
                <c:ptCount val="12"/>
                <c:pt idx="0">
                  <c:v>1897</c:v>
                </c:pt>
                <c:pt idx="1">
                  <c:v>207</c:v>
                </c:pt>
                <c:pt idx="2">
                  <c:v>6593</c:v>
                </c:pt>
                <c:pt idx="3">
                  <c:v>1656</c:v>
                </c:pt>
                <c:pt idx="4">
                  <c:v>10407</c:v>
                </c:pt>
                <c:pt idx="5">
                  <c:v>3384</c:v>
                </c:pt>
                <c:pt idx="6">
                  <c:v>1796</c:v>
                </c:pt>
                <c:pt idx="7">
                  <c:v>997</c:v>
                </c:pt>
                <c:pt idx="8">
                  <c:v>5629</c:v>
                </c:pt>
                <c:pt idx="9">
                  <c:v>3289</c:v>
                </c:pt>
                <c:pt idx="10">
                  <c:v>6372</c:v>
                </c:pt>
                <c:pt idx="11">
                  <c:v>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A-4E54-BABF-B4372CA4A147}"/>
            </c:ext>
          </c:extLst>
        </c:ser>
        <c:ser>
          <c:idx val="3"/>
          <c:order val="3"/>
          <c:tx>
            <c:strRef>
              <c:f>'MENSUAL COMERCIALES'!$A$38</c:f>
              <c:strCache>
                <c:ptCount val="1"/>
                <c:pt idx="0">
                  <c:v>ANTONIO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COMERCIALES'!$B$38:$M$38</c:f>
              <c:numCache>
                <c:formatCode>_-* #,##0\ "€"_-;\-* #,##0\ "€"_-;_-* "-"??\ "€"_-;_-@_-</c:formatCode>
                <c:ptCount val="12"/>
                <c:pt idx="0">
                  <c:v>4392</c:v>
                </c:pt>
                <c:pt idx="1">
                  <c:v>1084</c:v>
                </c:pt>
                <c:pt idx="2">
                  <c:v>6821</c:v>
                </c:pt>
                <c:pt idx="3">
                  <c:v>3651</c:v>
                </c:pt>
                <c:pt idx="4">
                  <c:v>3166</c:v>
                </c:pt>
                <c:pt idx="5">
                  <c:v>15545</c:v>
                </c:pt>
                <c:pt idx="6">
                  <c:v>6333</c:v>
                </c:pt>
                <c:pt idx="7">
                  <c:v>8888</c:v>
                </c:pt>
                <c:pt idx="8">
                  <c:v>9644</c:v>
                </c:pt>
                <c:pt idx="9">
                  <c:v>12461</c:v>
                </c:pt>
                <c:pt idx="10">
                  <c:v>3000</c:v>
                </c:pt>
                <c:pt idx="11">
                  <c:v>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AA-4E54-BABF-B4372CA4A147}"/>
            </c:ext>
          </c:extLst>
        </c:ser>
        <c:ser>
          <c:idx val="4"/>
          <c:order val="4"/>
          <c:tx>
            <c:strRef>
              <c:f>'MENSUAL COMERCIALES'!$A$39</c:f>
              <c:strCache>
                <c:ptCount val="1"/>
                <c:pt idx="0">
                  <c:v>ÁNGEL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COMERCIALES'!$B$39:$M$39</c:f>
              <c:numCache>
                <c:formatCode>_-* #,##0\ "€"_-;\-* #,##0\ "€"_-;_-* "-"??\ "€"_-;_-@_-</c:formatCode>
                <c:ptCount val="12"/>
                <c:pt idx="0">
                  <c:v>12349</c:v>
                </c:pt>
                <c:pt idx="1">
                  <c:v>2727</c:v>
                </c:pt>
                <c:pt idx="2">
                  <c:v>12173</c:v>
                </c:pt>
                <c:pt idx="3">
                  <c:v>5571</c:v>
                </c:pt>
                <c:pt idx="4">
                  <c:v>2326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AA-4E54-BABF-B4372CA4A147}"/>
            </c:ext>
          </c:extLst>
        </c:ser>
        <c:ser>
          <c:idx val="5"/>
          <c:order val="5"/>
          <c:tx>
            <c:strRef>
              <c:f>'MENSUAL COMERCIALES'!$A$40</c:f>
              <c:strCache>
                <c:ptCount val="1"/>
                <c:pt idx="0">
                  <c:v>CORESUR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COMERCIALES'!$B$40:$M$40</c:f>
              <c:numCache>
                <c:formatCode>_-* #,##0\ "€"_-;\-* #,##0\ "€"_-;_-* "-"??\ "€"_-;_-@_-</c:formatCode>
                <c:ptCount val="12"/>
                <c:pt idx="0">
                  <c:v>3076</c:v>
                </c:pt>
                <c:pt idx="1">
                  <c:v>3373</c:v>
                </c:pt>
                <c:pt idx="2">
                  <c:v>9656</c:v>
                </c:pt>
                <c:pt idx="3">
                  <c:v>5610</c:v>
                </c:pt>
                <c:pt idx="4">
                  <c:v>2732</c:v>
                </c:pt>
                <c:pt idx="5">
                  <c:v>2960</c:v>
                </c:pt>
                <c:pt idx="6">
                  <c:v>5491</c:v>
                </c:pt>
                <c:pt idx="7">
                  <c:v>1341</c:v>
                </c:pt>
                <c:pt idx="8">
                  <c:v>5393</c:v>
                </c:pt>
                <c:pt idx="9">
                  <c:v>4607</c:v>
                </c:pt>
                <c:pt idx="10">
                  <c:v>1817</c:v>
                </c:pt>
                <c:pt idx="11">
                  <c:v>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AA-4E54-BABF-B4372CA4A147}"/>
            </c:ext>
          </c:extLst>
        </c:ser>
        <c:ser>
          <c:idx val="6"/>
          <c:order val="6"/>
          <c:tx>
            <c:strRef>
              <c:f>'MENSUAL COMERCIALES'!$A$41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COMERCIALES'!$B$41:$M$41</c:f>
              <c:numCache>
                <c:formatCode>_-* #,##0\ "€"_-;\-* #,##0\ "€"_-;_-* "-"??\ "€"_-;_-@_-</c:formatCode>
                <c:ptCount val="12"/>
                <c:pt idx="0">
                  <c:v>10754</c:v>
                </c:pt>
                <c:pt idx="1">
                  <c:v>4481</c:v>
                </c:pt>
                <c:pt idx="2">
                  <c:v>15869</c:v>
                </c:pt>
                <c:pt idx="3">
                  <c:v>2152</c:v>
                </c:pt>
                <c:pt idx="4">
                  <c:v>2078</c:v>
                </c:pt>
                <c:pt idx="5">
                  <c:v>16912</c:v>
                </c:pt>
                <c:pt idx="6">
                  <c:v>12121</c:v>
                </c:pt>
                <c:pt idx="7">
                  <c:v>6003</c:v>
                </c:pt>
                <c:pt idx="8">
                  <c:v>13694</c:v>
                </c:pt>
                <c:pt idx="9">
                  <c:v>21082</c:v>
                </c:pt>
                <c:pt idx="10">
                  <c:v>8362</c:v>
                </c:pt>
                <c:pt idx="11">
                  <c:v>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AA-4E54-BABF-B4372CA4A147}"/>
            </c:ext>
          </c:extLst>
        </c:ser>
        <c:ser>
          <c:idx val="7"/>
          <c:order val="7"/>
          <c:tx>
            <c:strRef>
              <c:f>'MENSUAL COMERCIALES'!$A$42</c:f>
              <c:strCache>
                <c:ptCount val="1"/>
                <c:pt idx="0">
                  <c:v>ONDIVELA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'MENSUAL COMERCIALES'!$B$34:$M$34</c:f>
              <c:strCache>
                <c:ptCount val="12"/>
                <c:pt idx="0">
                  <c:v> ENERO </c:v>
                </c:pt>
                <c:pt idx="1">
                  <c:v> FEBRERO </c:v>
                </c:pt>
                <c:pt idx="2">
                  <c:v> MARZO </c:v>
                </c:pt>
                <c:pt idx="3">
                  <c:v> ABRIL </c:v>
                </c:pt>
                <c:pt idx="4">
                  <c:v> MAYO </c:v>
                </c:pt>
                <c:pt idx="5">
                  <c:v> JUNIO </c:v>
                </c:pt>
                <c:pt idx="6">
                  <c:v> JULIO </c:v>
                </c:pt>
                <c:pt idx="7">
                  <c:v> AGOSTO </c:v>
                </c:pt>
                <c:pt idx="8">
                  <c:v> SEPTIEMBRE </c:v>
                </c:pt>
                <c:pt idx="9">
                  <c:v> OCTUBRE </c:v>
                </c:pt>
                <c:pt idx="10">
                  <c:v> NOVIEMBRE </c:v>
                </c:pt>
                <c:pt idx="11">
                  <c:v> DICIEMBRE </c:v>
                </c:pt>
              </c:strCache>
            </c:strRef>
          </c:cat>
          <c:val>
            <c:numRef>
              <c:f>'MENSUAL COMERCIALES'!$B$42:$M$42</c:f>
              <c:numCache>
                <c:formatCode>_-* #,##0\ "€"_-;\-* #,##0\ "€"_-;_-* "-"??\ "€"_-;_-@_-</c:formatCode>
                <c:ptCount val="12"/>
                <c:pt idx="0">
                  <c:v>356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4172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2696</c:v>
                </c:pt>
                <c:pt idx="9">
                  <c:v>771</c:v>
                </c:pt>
                <c:pt idx="10">
                  <c:v>349</c:v>
                </c:pt>
                <c:pt idx="11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AA-4E54-BABF-B4372CA4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35871"/>
        <c:axId val="1441137311"/>
      </c:barChart>
      <c:catAx>
        <c:axId val="14411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137311"/>
        <c:crosses val="autoZero"/>
        <c:auto val="1"/>
        <c:lblAlgn val="ctr"/>
        <c:lblOffset val="100"/>
        <c:noMultiLvlLbl val="0"/>
      </c:catAx>
      <c:valAx>
        <c:axId val="14411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13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'TRIMESTRAL COMERCIALES'!$B$1</c:f>
              <c:strCache>
                <c:ptCount val="1"/>
                <c:pt idx="0">
                  <c:v>1ER TRIMESTRE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'TRIMESTRAL COMERCIALES'!$A$2:$A$9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COMERCIALES'!$B$2:$B$9</c:f>
              <c:numCache>
                <c:formatCode>_-* #,##0\ "€"_-;\-* #,##0\ "€"_-;_-* "-"??\ "€"_-;_-@_-</c:formatCode>
                <c:ptCount val="8"/>
                <c:pt idx="0">
                  <c:v>216103</c:v>
                </c:pt>
                <c:pt idx="1">
                  <c:v>25763</c:v>
                </c:pt>
                <c:pt idx="2">
                  <c:v>16677</c:v>
                </c:pt>
                <c:pt idx="3">
                  <c:v>36407</c:v>
                </c:pt>
                <c:pt idx="4">
                  <c:v>41689</c:v>
                </c:pt>
                <c:pt idx="5">
                  <c:v>29438</c:v>
                </c:pt>
                <c:pt idx="6">
                  <c:v>74042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6-4691-9B01-2C8CC8613FDE}"/>
            </c:ext>
          </c:extLst>
        </c:ser>
        <c:ser>
          <c:idx val="1"/>
          <c:order val="1"/>
          <c:tx>
            <c:strRef>
              <c:f>'TRIMESTRAL COMERCIALES'!$C$1</c:f>
              <c:strCache>
                <c:ptCount val="1"/>
                <c:pt idx="0">
                  <c:v>2DO 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'TRIMESTRAL COMERCIALES'!$A$2:$A$9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COMERCIALES'!$C$2:$C$9</c:f>
              <c:numCache>
                <c:formatCode>_-* #,##0\ "€"_-;\-* #,##0\ "€"_-;_-* "-"??\ "€"_-;_-@_-</c:formatCode>
                <c:ptCount val="8"/>
                <c:pt idx="0">
                  <c:v>116834</c:v>
                </c:pt>
                <c:pt idx="1">
                  <c:v>16282</c:v>
                </c:pt>
                <c:pt idx="2">
                  <c:v>11359</c:v>
                </c:pt>
                <c:pt idx="3">
                  <c:v>39730</c:v>
                </c:pt>
                <c:pt idx="4">
                  <c:v>54976</c:v>
                </c:pt>
                <c:pt idx="5">
                  <c:v>26280</c:v>
                </c:pt>
                <c:pt idx="6">
                  <c:v>44420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6-4691-9B01-2C8CC8613FDE}"/>
            </c:ext>
          </c:extLst>
        </c:ser>
        <c:ser>
          <c:idx val="2"/>
          <c:order val="2"/>
          <c:tx>
            <c:strRef>
              <c:f>'TRIMESTRAL COMERCIALES'!$D$1</c:f>
              <c:strCache>
                <c:ptCount val="1"/>
                <c:pt idx="0">
                  <c:v>3ER TRIMESTRE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'TRIMESTRAL COMERCIALES'!$A$2:$A$9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COMERCIALES'!$D$2:$D$9</c:f>
              <c:numCache>
                <c:formatCode>_-* #,##0\ "€"_-;\-* #,##0\ "€"_-;_-* "-"??\ "€"_-;_-@_-</c:formatCode>
                <c:ptCount val="8"/>
                <c:pt idx="0">
                  <c:v>103537</c:v>
                </c:pt>
                <c:pt idx="1">
                  <c:v>15897</c:v>
                </c:pt>
                <c:pt idx="2">
                  <c:v>14590</c:v>
                </c:pt>
                <c:pt idx="3">
                  <c:v>31866</c:v>
                </c:pt>
                <c:pt idx="4">
                  <c:v>33110</c:v>
                </c:pt>
                <c:pt idx="5">
                  <c:v>15803</c:v>
                </c:pt>
                <c:pt idx="6">
                  <c:v>27118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6-4691-9B01-2C8CC8613FDE}"/>
            </c:ext>
          </c:extLst>
        </c:ser>
        <c:ser>
          <c:idx val="3"/>
          <c:order val="3"/>
          <c:tx>
            <c:strRef>
              <c:f>'TRIMESTRAL COMERCIALES'!$E$1</c:f>
              <c:strCache>
                <c:ptCount val="1"/>
                <c:pt idx="0">
                  <c:v>4TO TRIMESTRE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'TRIMESTRAL COMERCIALES'!$A$2:$A$9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COMERCIALES'!$E$2:$E$9</c:f>
              <c:numCache>
                <c:formatCode>_-* #,##0\ "€"_-;\-* #,##0\ "€"_-;_-* "-"??\ "€"_-;_-@_-</c:formatCode>
                <c:ptCount val="8"/>
                <c:pt idx="0">
                  <c:v>96551</c:v>
                </c:pt>
                <c:pt idx="1">
                  <c:v>15206</c:v>
                </c:pt>
                <c:pt idx="2">
                  <c:v>9724</c:v>
                </c:pt>
                <c:pt idx="3">
                  <c:v>36774</c:v>
                </c:pt>
                <c:pt idx="4">
                  <c:v>39506</c:v>
                </c:pt>
                <c:pt idx="5">
                  <c:v>8324</c:v>
                </c:pt>
                <c:pt idx="6">
                  <c:v>34951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76-4691-9B01-2C8CC8613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5016927"/>
        <c:axId val="1445017407"/>
      </c:barChart>
      <c:catAx>
        <c:axId val="144501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017407"/>
        <c:crosses val="autoZero"/>
        <c:auto val="1"/>
        <c:lblAlgn val="ctr"/>
        <c:lblOffset val="100"/>
        <c:noMultiLvlLbl val="0"/>
      </c:catAx>
      <c:valAx>
        <c:axId val="14450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01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'TRIMESTRAL COMERCIALES'!$B$12</c:f>
              <c:strCache>
                <c:ptCount val="1"/>
                <c:pt idx="0">
                  <c:v>1ER TRIMESTRE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'TRIMESTRAL COMERCIALES'!$A$13:$A$20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COMERCIALES'!$B$13:$B$20</c:f>
              <c:numCache>
                <c:formatCode>_-* #,##0\ "€"_-;\-* #,##0\ "€"_-;_-* "-"??\ "€"_-;_-@_-</c:formatCode>
                <c:ptCount val="8"/>
                <c:pt idx="0">
                  <c:v>131594</c:v>
                </c:pt>
                <c:pt idx="1">
                  <c:v>21664</c:v>
                </c:pt>
                <c:pt idx="2">
                  <c:v>18965</c:v>
                </c:pt>
                <c:pt idx="3">
                  <c:v>36359</c:v>
                </c:pt>
                <c:pt idx="4">
                  <c:v>63870</c:v>
                </c:pt>
                <c:pt idx="5">
                  <c:v>20887</c:v>
                </c:pt>
                <c:pt idx="6">
                  <c:v>40906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B-47EA-B966-26348FE71BBE}"/>
            </c:ext>
          </c:extLst>
        </c:ser>
        <c:ser>
          <c:idx val="1"/>
          <c:order val="1"/>
          <c:tx>
            <c:strRef>
              <c:f>'TRIMESTRAL COMERCIALES'!$C$12</c:f>
              <c:strCache>
                <c:ptCount val="1"/>
                <c:pt idx="0">
                  <c:v>2DO 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'TRIMESTRAL COMERCIALES'!$A$13:$A$20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COMERCIALES'!$C$13:$C$20</c:f>
              <c:numCache>
                <c:formatCode>_-* #,##0\ "€"_-;\-* #,##0\ "€"_-;_-* "-"??\ "€"_-;_-@_-</c:formatCode>
                <c:ptCount val="8"/>
                <c:pt idx="0">
                  <c:v>75484</c:v>
                </c:pt>
                <c:pt idx="1">
                  <c:v>18967</c:v>
                </c:pt>
                <c:pt idx="2">
                  <c:v>3211</c:v>
                </c:pt>
                <c:pt idx="3">
                  <c:v>14207</c:v>
                </c:pt>
                <c:pt idx="4">
                  <c:v>30899</c:v>
                </c:pt>
                <c:pt idx="5">
                  <c:v>8775</c:v>
                </c:pt>
                <c:pt idx="6">
                  <c:v>25424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B-47EA-B966-26348FE71BBE}"/>
            </c:ext>
          </c:extLst>
        </c:ser>
        <c:ser>
          <c:idx val="2"/>
          <c:order val="2"/>
          <c:tx>
            <c:strRef>
              <c:f>'TRIMESTRAL COMERCIALES'!$D$12</c:f>
              <c:strCache>
                <c:ptCount val="1"/>
                <c:pt idx="0">
                  <c:v>3ER TRIMESTRE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'TRIMESTRAL COMERCIALES'!$A$13:$A$20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COMERCIALES'!$D$13:$D$20</c:f>
              <c:numCache>
                <c:formatCode>_-* #,##0\ "€"_-;\-* #,##0\ "€"_-;_-* "-"??\ "€"_-;_-@_-</c:formatCode>
                <c:ptCount val="8"/>
                <c:pt idx="0">
                  <c:v>94963</c:v>
                </c:pt>
                <c:pt idx="1">
                  <c:v>9796</c:v>
                </c:pt>
                <c:pt idx="2">
                  <c:v>9837</c:v>
                </c:pt>
                <c:pt idx="3">
                  <c:v>28772</c:v>
                </c:pt>
                <c:pt idx="4">
                  <c:v>40434</c:v>
                </c:pt>
                <c:pt idx="5">
                  <c:v>12627</c:v>
                </c:pt>
                <c:pt idx="6">
                  <c:v>26058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B-47EA-B966-26348FE71BBE}"/>
            </c:ext>
          </c:extLst>
        </c:ser>
        <c:ser>
          <c:idx val="3"/>
          <c:order val="3"/>
          <c:tx>
            <c:strRef>
              <c:f>'TRIMESTRAL COMERCIALES'!$E$12</c:f>
              <c:strCache>
                <c:ptCount val="1"/>
                <c:pt idx="0">
                  <c:v>4TO TRIMESTRE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'TRIMESTRAL COMERCIALES'!$A$13:$A$20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COMERCIALES'!$E$13:$E$20</c:f>
              <c:numCache>
                <c:formatCode>_-* #,##0\ "€"_-;\-* #,##0\ "€"_-;_-* "-"??\ "€"_-;_-@_-</c:formatCode>
                <c:ptCount val="8"/>
                <c:pt idx="0">
                  <c:v>97383</c:v>
                </c:pt>
                <c:pt idx="1">
                  <c:v>20576</c:v>
                </c:pt>
                <c:pt idx="2">
                  <c:v>27609</c:v>
                </c:pt>
                <c:pt idx="3">
                  <c:v>25245</c:v>
                </c:pt>
                <c:pt idx="4">
                  <c:v>33236</c:v>
                </c:pt>
                <c:pt idx="5">
                  <c:v>14144</c:v>
                </c:pt>
                <c:pt idx="6">
                  <c:v>37594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8B-47EA-B966-26348FE71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2913295"/>
        <c:axId val="1422919535"/>
      </c:barChart>
      <c:catAx>
        <c:axId val="142291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2919535"/>
        <c:crosses val="autoZero"/>
        <c:auto val="1"/>
        <c:lblAlgn val="ctr"/>
        <c:lblOffset val="100"/>
        <c:noMultiLvlLbl val="0"/>
      </c:catAx>
      <c:valAx>
        <c:axId val="142291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291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'TRIMESTRAL COMERCIALES'!$B$23</c:f>
              <c:strCache>
                <c:ptCount val="1"/>
                <c:pt idx="0">
                  <c:v>1ER TRIMESTRE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'TRIMESTRAL COMERCIALES'!$A$24:$A$31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COMERCIALES'!$B$24:$B$31</c:f>
              <c:numCache>
                <c:formatCode>_-* #,##0\ "€"_-;\-* #,##0\ "€"_-;_-* "-"??\ "€"_-;_-@_-</c:formatCode>
                <c:ptCount val="8"/>
                <c:pt idx="0">
                  <c:v>104536</c:v>
                </c:pt>
                <c:pt idx="1">
                  <c:v>15890</c:v>
                </c:pt>
                <c:pt idx="2">
                  <c:v>6247</c:v>
                </c:pt>
                <c:pt idx="3">
                  <c:v>15257</c:v>
                </c:pt>
                <c:pt idx="4">
                  <c:v>36119</c:v>
                </c:pt>
                <c:pt idx="5">
                  <c:v>13803</c:v>
                </c:pt>
                <c:pt idx="6">
                  <c:v>26764</c:v>
                </c:pt>
                <c:pt idx="7">
                  <c:v>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B-48F6-BE9A-FA95641A172A}"/>
            </c:ext>
          </c:extLst>
        </c:ser>
        <c:ser>
          <c:idx val="1"/>
          <c:order val="1"/>
          <c:tx>
            <c:strRef>
              <c:f>'TRIMESTRAL COMERCIALES'!$C$23</c:f>
              <c:strCache>
                <c:ptCount val="1"/>
                <c:pt idx="0">
                  <c:v>2DO 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'TRIMESTRAL COMERCIALES'!$A$24:$A$31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COMERCIALES'!$C$24:$C$31</c:f>
              <c:numCache>
                <c:formatCode>_-* #,##0\ "€"_-;\-* #,##0\ "€"_-;_-* "-"??\ "€"_-;_-@_-</c:formatCode>
                <c:ptCount val="8"/>
                <c:pt idx="0">
                  <c:v>90865</c:v>
                </c:pt>
                <c:pt idx="1">
                  <c:v>16395</c:v>
                </c:pt>
                <c:pt idx="2">
                  <c:v>7604</c:v>
                </c:pt>
                <c:pt idx="3">
                  <c:v>29447</c:v>
                </c:pt>
                <c:pt idx="4">
                  <c:v>29707</c:v>
                </c:pt>
                <c:pt idx="5">
                  <c:v>18189</c:v>
                </c:pt>
                <c:pt idx="6">
                  <c:v>34387</c:v>
                </c:pt>
                <c:pt idx="7">
                  <c:v>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B-48F6-BE9A-FA95641A172A}"/>
            </c:ext>
          </c:extLst>
        </c:ser>
        <c:ser>
          <c:idx val="2"/>
          <c:order val="2"/>
          <c:tx>
            <c:strRef>
              <c:f>'TRIMESTRAL COMERCIALES'!$D$23</c:f>
              <c:strCache>
                <c:ptCount val="1"/>
                <c:pt idx="0">
                  <c:v>3ER TRIMESTRE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'TRIMESTRAL COMERCIALES'!$A$24:$A$31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COMERCIALES'!$D$24:$D$31</c:f>
              <c:numCache>
                <c:formatCode>_-* #,##0\ "€"_-;\-* #,##0\ "€"_-;_-* "-"??\ "€"_-;_-@_-</c:formatCode>
                <c:ptCount val="8"/>
                <c:pt idx="0">
                  <c:v>111558</c:v>
                </c:pt>
                <c:pt idx="1">
                  <c:v>19715</c:v>
                </c:pt>
                <c:pt idx="2">
                  <c:v>13986</c:v>
                </c:pt>
                <c:pt idx="3">
                  <c:v>30260</c:v>
                </c:pt>
                <c:pt idx="4">
                  <c:v>22093</c:v>
                </c:pt>
                <c:pt idx="5">
                  <c:v>8777</c:v>
                </c:pt>
                <c:pt idx="6">
                  <c:v>33755</c:v>
                </c:pt>
                <c:pt idx="7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B-48F6-BE9A-FA95641A172A}"/>
            </c:ext>
          </c:extLst>
        </c:ser>
        <c:ser>
          <c:idx val="3"/>
          <c:order val="3"/>
          <c:tx>
            <c:strRef>
              <c:f>'TRIMESTRAL COMERCIALES'!$E$23</c:f>
              <c:strCache>
                <c:ptCount val="1"/>
                <c:pt idx="0">
                  <c:v>4TO TRIMESTRE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'TRIMESTRAL COMERCIALES'!$A$24:$A$31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COMERCIALES'!$E$24:$E$31</c:f>
              <c:numCache>
                <c:formatCode>_-* #,##0\ "€"_-;\-* #,##0\ "€"_-;_-* "-"??\ "€"_-;_-@_-</c:formatCode>
                <c:ptCount val="8"/>
                <c:pt idx="0">
                  <c:v>92947</c:v>
                </c:pt>
                <c:pt idx="1">
                  <c:v>13606</c:v>
                </c:pt>
                <c:pt idx="2">
                  <c:v>14092</c:v>
                </c:pt>
                <c:pt idx="3">
                  <c:v>25411</c:v>
                </c:pt>
                <c:pt idx="4">
                  <c:v>35140</c:v>
                </c:pt>
                <c:pt idx="5">
                  <c:v>15320</c:v>
                </c:pt>
                <c:pt idx="6">
                  <c:v>35992</c:v>
                </c:pt>
                <c:pt idx="7">
                  <c:v>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6B-48F6-BE9A-FA95641A1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2905615"/>
        <c:axId val="1422912815"/>
      </c:barChart>
      <c:catAx>
        <c:axId val="142290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2912815"/>
        <c:crosses val="autoZero"/>
        <c:auto val="1"/>
        <c:lblAlgn val="ctr"/>
        <c:lblOffset val="100"/>
        <c:noMultiLvlLbl val="0"/>
      </c:catAx>
      <c:valAx>
        <c:axId val="142291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290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'TRIMESTRAL COMERCIALES'!$B$34</c:f>
              <c:strCache>
                <c:ptCount val="1"/>
                <c:pt idx="0">
                  <c:v>1ER TRIMESTRE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'TRIMESTRAL COMERCIALES'!$A$35:$A$42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COMERCIALES'!$B$35:$B$42</c:f>
              <c:numCache>
                <c:formatCode>_-* #,##0\ "€"_-;\-* #,##0\ "€"_-;_-* "-"??\ "€"_-;_-@_-</c:formatCode>
                <c:ptCount val="8"/>
                <c:pt idx="0">
                  <c:v>123125</c:v>
                </c:pt>
                <c:pt idx="1">
                  <c:v>22900</c:v>
                </c:pt>
                <c:pt idx="2">
                  <c:v>8697</c:v>
                </c:pt>
                <c:pt idx="3">
                  <c:v>12297</c:v>
                </c:pt>
                <c:pt idx="4">
                  <c:v>27249</c:v>
                </c:pt>
                <c:pt idx="5">
                  <c:v>16105</c:v>
                </c:pt>
                <c:pt idx="6">
                  <c:v>31104</c:v>
                </c:pt>
                <c:pt idx="7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1-48D4-B521-DFC2A230CE0E}"/>
            </c:ext>
          </c:extLst>
        </c:ser>
        <c:ser>
          <c:idx val="1"/>
          <c:order val="1"/>
          <c:tx>
            <c:strRef>
              <c:f>'TRIMESTRAL COMERCIALES'!$C$34</c:f>
              <c:strCache>
                <c:ptCount val="1"/>
                <c:pt idx="0">
                  <c:v>2DO 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'TRIMESTRAL COMERCIALES'!$A$35:$A$42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COMERCIALES'!$C$35:$C$42</c:f>
              <c:numCache>
                <c:formatCode>_-* #,##0\ "€"_-;\-* #,##0\ "€"_-;_-* "-"??\ "€"_-;_-@_-</c:formatCode>
                <c:ptCount val="8"/>
                <c:pt idx="0">
                  <c:v>83515</c:v>
                </c:pt>
                <c:pt idx="1">
                  <c:v>15619</c:v>
                </c:pt>
                <c:pt idx="2">
                  <c:v>15447</c:v>
                </c:pt>
                <c:pt idx="3">
                  <c:v>22362</c:v>
                </c:pt>
                <c:pt idx="4">
                  <c:v>7897</c:v>
                </c:pt>
                <c:pt idx="5">
                  <c:v>11302</c:v>
                </c:pt>
                <c:pt idx="6">
                  <c:v>21142</c:v>
                </c:pt>
                <c:pt idx="7">
                  <c:v>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1-48D4-B521-DFC2A230CE0E}"/>
            </c:ext>
          </c:extLst>
        </c:ser>
        <c:ser>
          <c:idx val="2"/>
          <c:order val="2"/>
          <c:tx>
            <c:strRef>
              <c:f>'TRIMESTRAL COMERCIALES'!$D$34</c:f>
              <c:strCache>
                <c:ptCount val="1"/>
                <c:pt idx="0">
                  <c:v>3ER TRIMESTRE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'TRIMESTRAL COMERCIALES'!$A$35:$A$42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COMERCIALES'!$D$35:$D$42</c:f>
              <c:numCache>
                <c:formatCode>_-* #,##0\ "€"_-;\-* #,##0\ "€"_-;_-* "-"??\ "€"_-;_-@_-</c:formatCode>
                <c:ptCount val="8"/>
                <c:pt idx="0">
                  <c:v>111259</c:v>
                </c:pt>
                <c:pt idx="1">
                  <c:v>19678</c:v>
                </c:pt>
                <c:pt idx="2">
                  <c:v>8422</c:v>
                </c:pt>
                <c:pt idx="3">
                  <c:v>24865</c:v>
                </c:pt>
                <c:pt idx="4">
                  <c:v>0</c:v>
                </c:pt>
                <c:pt idx="5">
                  <c:v>12225</c:v>
                </c:pt>
                <c:pt idx="6">
                  <c:v>31818</c:v>
                </c:pt>
                <c:pt idx="7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1-48D4-B521-DFC2A230CE0E}"/>
            </c:ext>
          </c:extLst>
        </c:ser>
        <c:ser>
          <c:idx val="3"/>
          <c:order val="3"/>
          <c:tx>
            <c:strRef>
              <c:f>'TRIMESTRAL COMERCIALES'!$E$34</c:f>
              <c:strCache>
                <c:ptCount val="1"/>
                <c:pt idx="0">
                  <c:v>4TO TRIMESTRE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'TRIMESTRAL COMERCIALES'!$A$35:$A$42</c:f>
              <c:strCache>
                <c:ptCount val="8"/>
                <c:pt idx="0">
                  <c:v>ESPIN</c:v>
                </c:pt>
                <c:pt idx="1">
                  <c:v>LOMBARTE</c:v>
                </c:pt>
                <c:pt idx="2">
                  <c:v>BEÑAT</c:v>
                </c:pt>
                <c:pt idx="3">
                  <c:v>ANTONIO</c:v>
                </c:pt>
                <c:pt idx="4">
                  <c:v>ÁNGEL</c:v>
                </c:pt>
                <c:pt idx="5">
                  <c:v>CORESUR</c:v>
                </c:pt>
                <c:pt idx="6">
                  <c:v>DM</c:v>
                </c:pt>
                <c:pt idx="7">
                  <c:v>ONDIVELA</c:v>
                </c:pt>
              </c:strCache>
            </c:strRef>
          </c:cat>
          <c:val>
            <c:numRef>
              <c:f>'TRIMESTRAL COMERCIALES'!$E$35:$E$42</c:f>
              <c:numCache>
                <c:formatCode>_-* #,##0\ "€"_-;\-* #,##0\ "€"_-;_-* "-"??\ "€"_-;_-@_-</c:formatCode>
                <c:ptCount val="8"/>
                <c:pt idx="0">
                  <c:v>67351</c:v>
                </c:pt>
                <c:pt idx="1">
                  <c:v>18429</c:v>
                </c:pt>
                <c:pt idx="2">
                  <c:v>13129</c:v>
                </c:pt>
                <c:pt idx="3">
                  <c:v>19007</c:v>
                </c:pt>
                <c:pt idx="4">
                  <c:v>0</c:v>
                </c:pt>
                <c:pt idx="5">
                  <c:v>8176</c:v>
                </c:pt>
                <c:pt idx="6">
                  <c:v>31996</c:v>
                </c:pt>
                <c:pt idx="7">
                  <c:v>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71-48D4-B521-DFC2A230C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8328799"/>
        <c:axId val="1418331199"/>
      </c:barChart>
      <c:catAx>
        <c:axId val="141832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8331199"/>
        <c:crosses val="autoZero"/>
        <c:auto val="1"/>
        <c:lblAlgn val="ctr"/>
        <c:lblOffset val="100"/>
        <c:noMultiLvlLbl val="0"/>
      </c:catAx>
      <c:valAx>
        <c:axId val="141833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832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COMERCIALES'!$A$3</c:f>
              <c:strCache>
                <c:ptCount val="1"/>
                <c:pt idx="0">
                  <c:v>ESPIN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E5-469C-933A-47E860ED2B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E5-469C-933A-47E860ED2B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E5-469C-933A-47E860ED2B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E5-469C-933A-47E860ED2B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COMERCIALES'!$B$3:$E$3</c:f>
              <c:numCache>
                <c:formatCode>_-* #,##0\ "€"_-;\-* #,##0\ "€"_-;_-* "-"??\ "€"_-;_-@_-</c:formatCode>
                <c:ptCount val="4"/>
                <c:pt idx="0">
                  <c:v>533025</c:v>
                </c:pt>
                <c:pt idx="1">
                  <c:v>399424</c:v>
                </c:pt>
                <c:pt idx="2">
                  <c:v>399906</c:v>
                </c:pt>
                <c:pt idx="3">
                  <c:v>385250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E-462C-A6C8-0426FC4158B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COMERCIALES'!$A$4</c:f>
              <c:strCache>
                <c:ptCount val="1"/>
                <c:pt idx="0">
                  <c:v>LOMBARTE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3B-490E-AD80-81D239B28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3B-490E-AD80-81D239B28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3B-490E-AD80-81D239B28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COMERCIALES'!$B$4:$E$4</c:f>
              <c:numCache>
                <c:formatCode>_-* #,##0\ "€"_-;\-* #,##0\ "€"_-;_-* "-"??\ "€"_-;_-@_-</c:formatCode>
                <c:ptCount val="4"/>
                <c:pt idx="0">
                  <c:v>73148</c:v>
                </c:pt>
                <c:pt idx="1">
                  <c:v>71003</c:v>
                </c:pt>
                <c:pt idx="2">
                  <c:v>65606</c:v>
                </c:pt>
                <c:pt idx="3">
                  <c:v>76626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D-4931-8BAC-D273142AF6B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BD-4931-8BAC-D273142AF6B4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BD-4931-8BAC-D273142AF6B4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BD-4931-8BAC-D273142AF6B4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BD-4931-8BAC-D273142AF6B4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BD-4931-8BAC-D273142AF6B4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BD-4931-8BAC-D273142AF6B4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BD-4931-8BAC-D273142AF6B4}"/>
            </c:ext>
          </c:extLst>
        </c:ser>
        <c:ser>
          <c:idx val="8"/>
          <c:order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BD-4931-8BAC-D273142AF6B4}"/>
            </c:ext>
          </c:extLst>
        </c:ser>
        <c:ser>
          <c:idx val="9"/>
          <c:order val="9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BD-4931-8BAC-D273142AF6B4}"/>
            </c:ext>
          </c:extLst>
        </c:ser>
        <c:ser>
          <c:idx val="10"/>
          <c:order val="1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63B-490E-AD80-81D239B28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BD-4931-8BAC-D273142AF6B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63383558536664"/>
          <c:y val="0.19717381162988012"/>
          <c:w val="0.44440141278636469"/>
          <c:h val="0.10368736166043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COMERCIALES'!$A$5</c:f>
              <c:strCache>
                <c:ptCount val="1"/>
                <c:pt idx="0">
                  <c:v>BEÑAT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3B-4925-A5AE-4AD46FE20C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3B-4925-A5AE-4AD46FE20C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3B-4925-A5AE-4AD46FE20C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3B-4925-A5AE-4AD46FE20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COMERCIALES'!$B$5:$E$5</c:f>
              <c:numCache>
                <c:formatCode>_-* #,##0\ "€"_-;\-* #,##0\ "€"_-;_-* "-"??\ "€"_-;_-@_-</c:formatCode>
                <c:ptCount val="4"/>
                <c:pt idx="0">
                  <c:v>52350</c:v>
                </c:pt>
                <c:pt idx="1">
                  <c:v>59622</c:v>
                </c:pt>
                <c:pt idx="2">
                  <c:v>41929</c:v>
                </c:pt>
                <c:pt idx="3">
                  <c:v>45695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3-4212-9411-A99DEF5B1E5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93B-4925-A5AE-4AD46FE20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3-4212-9411-A99DEF5B1E5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038125789831826"/>
          <c:y val="0.17717042387735799"/>
          <c:w val="0.44419438726261046"/>
          <c:h val="9.3168333704301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COMERCIALES'!$A$6</c:f>
              <c:strCache>
                <c:ptCount val="1"/>
                <c:pt idx="0">
                  <c:v>ANTONIO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B4-4961-9E40-1E29207251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B4-4961-9E40-1E29207251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B4-4961-9E40-1E29207251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B4-4961-9E40-1E29207251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COMERCIALES'!$B$6:$E$6</c:f>
              <c:numCache>
                <c:formatCode>_-* #,##0\ "€"_-;\-* #,##0\ "€"_-;_-* "-"??\ "€"_-;_-@_-</c:formatCode>
                <c:ptCount val="4"/>
                <c:pt idx="0">
                  <c:v>144777</c:v>
                </c:pt>
                <c:pt idx="1">
                  <c:v>104583</c:v>
                </c:pt>
                <c:pt idx="2">
                  <c:v>100375</c:v>
                </c:pt>
                <c:pt idx="3">
                  <c:v>78531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F-4437-ADC3-8F6D46B825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COMERCIALES'!$A$7</c:f>
              <c:strCache>
                <c:ptCount val="1"/>
                <c:pt idx="0">
                  <c:v>ÁNGEL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78-4CA5-AB53-0647773DE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78-4CA5-AB53-0647773DE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78-4CA5-AB53-0647773DE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78-4CA5-AB53-0647773DE3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COMERCIALES'!$B$7:$E$7</c:f>
              <c:numCache>
                <c:formatCode>_-* #,##0\ "€"_-;\-* #,##0\ "€"_-;_-* "-"??\ "€"_-;_-@_-</c:formatCode>
                <c:ptCount val="4"/>
                <c:pt idx="0">
                  <c:v>169281</c:v>
                </c:pt>
                <c:pt idx="1">
                  <c:v>168439</c:v>
                </c:pt>
                <c:pt idx="2">
                  <c:v>123059</c:v>
                </c:pt>
                <c:pt idx="3">
                  <c:v>35146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2-4D03-A3D9-BA3C89D35D0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COMERCIALES'!$A$8</c:f>
              <c:strCache>
                <c:ptCount val="1"/>
                <c:pt idx="0">
                  <c:v>CORESUR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E9-4A08-848A-2B9DC24106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E9-4A08-848A-2B9DC24106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E9-4A08-848A-2B9DC24106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E9-4A08-848A-2B9DC2410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COMERCIALES'!$B$8:$E$8</c:f>
              <c:numCache>
                <c:formatCode>_-* #,##0\ "€"_-;\-* #,##0\ "€"_-;_-* "-"??\ "€"_-;_-@_-</c:formatCode>
                <c:ptCount val="4"/>
                <c:pt idx="0">
                  <c:v>79845</c:v>
                </c:pt>
                <c:pt idx="1">
                  <c:v>56433</c:v>
                </c:pt>
                <c:pt idx="2">
                  <c:v>56089</c:v>
                </c:pt>
                <c:pt idx="3">
                  <c:v>47808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4-4F79-95E4-72EDBC513EA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COMERCIALES'!$A$9</c:f>
              <c:strCache>
                <c:ptCount val="1"/>
                <c:pt idx="0">
                  <c:v>DM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F4-403D-9374-325D5E4F22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F4-403D-9374-325D5E4F22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F4-403D-9374-325D5E4F22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8F4-403D-9374-325D5E4F22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COMERCIALES'!$B$9:$E$9</c:f>
              <c:numCache>
                <c:formatCode>_-* #,##0\ "€"_-;\-* #,##0\ "€"_-;_-* "-"??\ "€"_-;_-@_-</c:formatCode>
                <c:ptCount val="4"/>
                <c:pt idx="0">
                  <c:v>180531</c:v>
                </c:pt>
                <c:pt idx="1">
                  <c:v>129982</c:v>
                </c:pt>
                <c:pt idx="2">
                  <c:v>130898</c:v>
                </c:pt>
                <c:pt idx="3">
                  <c:v>116060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5-4E75-9287-8985899369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COMERCIALES'!$A$10</c:f>
              <c:strCache>
                <c:ptCount val="1"/>
                <c:pt idx="0">
                  <c:v>ONDIVELA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CF-4EF9-BE1C-314FDA050C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CF-4EF9-BE1C-314FDA050C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CF-4EF9-BE1C-314FDA050C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CF-4EF9-BE1C-314FDA050C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COMERCIALES'!$B$10:$E$10</c:f>
              <c:numCache>
                <c:formatCode>_-* #,##0\ "€"_-;\-* #,##0\ "€"_-;_-* "-"??\ "€"_-;_-@_-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18835</c:v>
                </c:pt>
                <c:pt idx="3">
                  <c:v>9185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4-4B33-A3E3-F0666160B56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'ANUAL COMERCIALES'!$A$3</c:f>
              <c:strCache>
                <c:ptCount val="1"/>
                <c:pt idx="0">
                  <c:v>ESPIN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F7-4AA7-A4B9-8AD0628B95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F7-4AA7-A4B9-8AD0628B95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F7-4AA7-A4B9-8AD0628B95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F7-4AA7-A4B9-8AD0628B95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'ANUAL COMERCIALES'!$B$2:$E$2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'ANUAL COMERCIALES'!$B$3:$E$3</c:f>
              <c:numCache>
                <c:formatCode>_-* #,##0\ "€"_-;\-* #,##0\ "€"_-;_-* "-"??\ "€"_-;_-@_-</c:formatCode>
                <c:ptCount val="4"/>
                <c:pt idx="0">
                  <c:v>533025</c:v>
                </c:pt>
                <c:pt idx="1">
                  <c:v>399424</c:v>
                </c:pt>
                <c:pt idx="2">
                  <c:v>399906</c:v>
                </c:pt>
                <c:pt idx="3">
                  <c:v>385250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F7-4AA7-A4B9-8AD0628B951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ESPIN!$B$2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ESPIN!$A$3:$A$14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ESPIN!$B$3:$B$14</c:f>
              <c:numCache>
                <c:formatCode>_-* #,##0\ "€"_-;\-* #,##0\ "€"_-;_-* "-"??\ "€"_-;_-@_-</c:formatCode>
                <c:ptCount val="12"/>
                <c:pt idx="0">
                  <c:v>-2378</c:v>
                </c:pt>
                <c:pt idx="1">
                  <c:v>-83008</c:v>
                </c:pt>
                <c:pt idx="2">
                  <c:v>877</c:v>
                </c:pt>
                <c:pt idx="3">
                  <c:v>-27208</c:v>
                </c:pt>
                <c:pt idx="4">
                  <c:v>12592</c:v>
                </c:pt>
                <c:pt idx="5">
                  <c:v>-26734</c:v>
                </c:pt>
                <c:pt idx="6">
                  <c:v>-19163</c:v>
                </c:pt>
                <c:pt idx="7">
                  <c:v>-10931</c:v>
                </c:pt>
                <c:pt idx="8">
                  <c:v>21520</c:v>
                </c:pt>
                <c:pt idx="9">
                  <c:v>1566</c:v>
                </c:pt>
                <c:pt idx="10">
                  <c:v>1218</c:v>
                </c:pt>
                <c:pt idx="11">
                  <c:v>-1952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3-4923-BBB3-ED3B14658E82}"/>
            </c:ext>
          </c:extLst>
        </c:ser>
        <c:ser>
          <c:idx val="1"/>
          <c:order val="1"/>
          <c:tx>
            <c:strRef>
              <c:f>ESPIN!$C$2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ESPIN!$A$3:$A$14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ESPIN!$C$3:$C$14</c:f>
              <c:numCache>
                <c:formatCode>_-* #,##0\ "€"_-;\-* #,##0\ "€"_-;_-* "-"??\ "€"_-;_-@_-</c:formatCode>
                <c:ptCount val="12"/>
                <c:pt idx="0">
                  <c:v>-9291</c:v>
                </c:pt>
                <c:pt idx="1">
                  <c:v>12108</c:v>
                </c:pt>
                <c:pt idx="2">
                  <c:v>-29875</c:v>
                </c:pt>
                <c:pt idx="3">
                  <c:v>31082</c:v>
                </c:pt>
                <c:pt idx="4">
                  <c:v>-16298</c:v>
                </c:pt>
                <c:pt idx="5">
                  <c:v>597</c:v>
                </c:pt>
                <c:pt idx="6">
                  <c:v>-13610</c:v>
                </c:pt>
                <c:pt idx="7">
                  <c:v>48721</c:v>
                </c:pt>
                <c:pt idx="8">
                  <c:v>-18516</c:v>
                </c:pt>
                <c:pt idx="9">
                  <c:v>-1070</c:v>
                </c:pt>
                <c:pt idx="10">
                  <c:v>-9905</c:v>
                </c:pt>
                <c:pt idx="11">
                  <c:v>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3-4923-BBB3-ED3B14658E82}"/>
            </c:ext>
          </c:extLst>
        </c:ser>
        <c:ser>
          <c:idx val="2"/>
          <c:order val="2"/>
          <c:tx>
            <c:strRef>
              <c:f>ESPIN!$D$2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ESPIN!$A$3:$A$14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ESPIN!$D$3:$D$14</c:f>
              <c:numCache>
                <c:formatCode>_-* #,##0\ "€"_-;\-* #,##0\ "€"_-;_-* "-"??\ "€"_-;_-@_-</c:formatCode>
                <c:ptCount val="12"/>
                <c:pt idx="0">
                  <c:v>15554</c:v>
                </c:pt>
                <c:pt idx="1">
                  <c:v>-18577</c:v>
                </c:pt>
                <c:pt idx="2">
                  <c:v>21612</c:v>
                </c:pt>
                <c:pt idx="3">
                  <c:v>-25715</c:v>
                </c:pt>
                <c:pt idx="4">
                  <c:v>-10494</c:v>
                </c:pt>
                <c:pt idx="5">
                  <c:v>28859</c:v>
                </c:pt>
                <c:pt idx="6">
                  <c:v>14361</c:v>
                </c:pt>
                <c:pt idx="7">
                  <c:v>-35992</c:v>
                </c:pt>
                <c:pt idx="8">
                  <c:v>21332</c:v>
                </c:pt>
                <c:pt idx="9">
                  <c:v>-15241</c:v>
                </c:pt>
                <c:pt idx="10">
                  <c:v>-6941</c:v>
                </c:pt>
                <c:pt idx="11">
                  <c:v>-3414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3-4923-BBB3-ED3B14658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8092591"/>
        <c:axId val="1258093071"/>
      </c:barChart>
      <c:catAx>
        <c:axId val="12580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8093071"/>
        <c:crosses val="autoZero"/>
        <c:auto val="1"/>
        <c:lblAlgn val="ctr"/>
        <c:lblOffset val="100"/>
        <c:noMultiLvlLbl val="0"/>
      </c:catAx>
      <c:valAx>
        <c:axId val="12580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809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ESPIN!$G$2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ESPIN!$F$3:$F$6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ESPIN!$G$3:$G$6</c:f>
              <c:numCache>
                <c:formatCode>_-* #,##0\ "€"_-;\-* #,##0\ "€"_-;_-* "-"??\ "€"_-;_-@_-</c:formatCode>
                <c:ptCount val="4"/>
                <c:pt idx="0">
                  <c:v>-84509</c:v>
                </c:pt>
                <c:pt idx="1">
                  <c:v>-41350</c:v>
                </c:pt>
                <c:pt idx="2">
                  <c:v>-8574</c:v>
                </c:pt>
                <c:pt idx="3">
                  <c:v>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E-4049-81E8-85868CE0C305}"/>
            </c:ext>
          </c:extLst>
        </c:ser>
        <c:ser>
          <c:idx val="1"/>
          <c:order val="1"/>
          <c:tx>
            <c:strRef>
              <c:f>ESPIN!$H$2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ESPIN!$F$3:$F$6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ESPIN!$H$3:$H$6</c:f>
              <c:numCache>
                <c:formatCode>_-* #,##0\ "€"_-;\-* #,##0\ "€"_-;_-* "-"??\ "€"_-;_-@_-</c:formatCode>
                <c:ptCount val="4"/>
                <c:pt idx="0">
                  <c:v>-27058</c:v>
                </c:pt>
                <c:pt idx="1">
                  <c:v>-4436</c:v>
                </c:pt>
                <c:pt idx="2">
                  <c:v>16595</c:v>
                </c:pt>
                <c:pt idx="3">
                  <c:v>-4436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E-4049-81E8-85868CE0C305}"/>
            </c:ext>
          </c:extLst>
        </c:ser>
        <c:ser>
          <c:idx val="2"/>
          <c:order val="2"/>
          <c:tx>
            <c:strRef>
              <c:f>ESPIN!$I$2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ESPIN!$F$3:$F$6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ESPIN!$I$3:$I$6</c:f>
              <c:numCache>
                <c:formatCode>_-* #,##0\ "€"_-;\-* #,##0\ "€"_-;_-* "-"??\ "€"_-;_-@_-</c:formatCode>
                <c:ptCount val="4"/>
                <c:pt idx="0">
                  <c:v>18589</c:v>
                </c:pt>
                <c:pt idx="1">
                  <c:v>-7350</c:v>
                </c:pt>
                <c:pt idx="2">
                  <c:v>-299</c:v>
                </c:pt>
                <c:pt idx="3">
                  <c:v>-2960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E-4049-81E8-85868CE0C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9444703"/>
        <c:axId val="1599445663"/>
      </c:barChart>
      <c:catAx>
        <c:axId val="15994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9445663"/>
        <c:crosses val="autoZero"/>
        <c:auto val="1"/>
        <c:lblAlgn val="ctr"/>
        <c:lblOffset val="100"/>
        <c:noMultiLvlLbl val="0"/>
      </c:catAx>
      <c:valAx>
        <c:axId val="159944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94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ESPIN!$L$2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ESPIN!$L$3</c:f>
              <c:numCache>
                <c:formatCode>_-* #,##0\ "€"_-;\-* #,##0\ "€"_-;_-* "-"??\ "€"_-;_-@_-</c:formatCode>
                <c:ptCount val="1"/>
                <c:pt idx="0">
                  <c:v>-133601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8-4826-842D-8E448DFB682C}"/>
            </c:ext>
          </c:extLst>
        </c:ser>
        <c:ser>
          <c:idx val="2"/>
          <c:order val="2"/>
          <c:tx>
            <c:strRef>
              <c:f>ESPIN!$M$2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ESPIN!$M$3</c:f>
              <c:numCache>
                <c:formatCode>_-* #,##0\ "€"_-;\-* #,##0\ "€"_-;_-* "-"??\ "€"_-;_-@_-</c:formatCode>
                <c:ptCount val="1"/>
                <c:pt idx="0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8-4826-842D-8E448DFB682C}"/>
            </c:ext>
          </c:extLst>
        </c:ser>
        <c:ser>
          <c:idx val="3"/>
          <c:order val="3"/>
          <c:tx>
            <c:strRef>
              <c:f>ESPIN!$N$2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ESPIN!$N$3</c:f>
              <c:numCache>
                <c:formatCode>_-* #,##0\ "€"_-;\-* #,##0\ "€"_-;_-* "-"??\ "€"_-;_-@_-</c:formatCode>
                <c:ptCount val="1"/>
                <c:pt idx="0">
                  <c:v>-14656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08-4826-842D-8E448DFB68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50918767"/>
        <c:axId val="1650917327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ESPIN!$K$2</c15:sqref>
                        </c15:formulaRef>
                      </c:ext>
                    </c:extLst>
                    <c:strCache>
                      <c:ptCount val="1"/>
                      <c:pt idx="0">
                        <c:v>NUMÉRICO</c:v>
                      </c:pt>
                    </c:strCache>
                  </c:strRef>
                </c:tx>
                <c:spPr>
                  <a:solidFill>
                    <a:schemeClr val="accent1">
                      <a:alpha val="88000"/>
                    </a:schemeClr>
                  </a:solidFill>
                  <a:ln>
                    <a:solidFill>
                      <a:schemeClr val="accent1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1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1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ESPIN!$K$3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908-4826-842D-8E448DFB682C}"/>
                  </c:ext>
                </c:extLst>
              </c15:ser>
            </c15:filteredBarSeries>
          </c:ext>
        </c:extLst>
      </c:bar3DChart>
      <c:catAx>
        <c:axId val="1650918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0917327"/>
        <c:crosses val="autoZero"/>
        <c:auto val="1"/>
        <c:lblAlgn val="ctr"/>
        <c:lblOffset val="100"/>
        <c:noMultiLvlLbl val="0"/>
      </c:catAx>
      <c:valAx>
        <c:axId val="1650917327"/>
        <c:scaling>
          <c:orientation val="minMax"/>
        </c:scaling>
        <c:delete val="1"/>
        <c:axPos val="l"/>
        <c:numFmt formatCode="_-* #,##0\ &quot;€&quot;_-;\-* #,##0\ &quot;€&quot;_-;_-* &quot;-&quot;??\ &quot;€&quot;_-;_-@_-" sourceLinked="1"/>
        <c:majorTickMark val="out"/>
        <c:minorTickMark val="none"/>
        <c:tickLblPos val="nextTo"/>
        <c:crossAx val="165091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LOMBARTE!$B$2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LOMBARTE!$A$3:$A$14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LOMBARTE!$B$3:$B$14</c:f>
              <c:numCache>
                <c:formatCode>_-* #,##0\ "€"_-;\-* #,##0\ "€"_-;_-* "-"??\ "€"_-;_-@_-</c:formatCode>
                <c:ptCount val="12"/>
                <c:pt idx="0">
                  <c:v>1319</c:v>
                </c:pt>
                <c:pt idx="1">
                  <c:v>-11623</c:v>
                </c:pt>
                <c:pt idx="2">
                  <c:v>6205</c:v>
                </c:pt>
                <c:pt idx="3">
                  <c:v>-6285</c:v>
                </c:pt>
                <c:pt idx="4">
                  <c:v>588</c:v>
                </c:pt>
                <c:pt idx="5">
                  <c:v>8382</c:v>
                </c:pt>
                <c:pt idx="6">
                  <c:v>-6107</c:v>
                </c:pt>
                <c:pt idx="7">
                  <c:v>505</c:v>
                </c:pt>
                <c:pt idx="8">
                  <c:v>-499</c:v>
                </c:pt>
                <c:pt idx="9">
                  <c:v>-1214</c:v>
                </c:pt>
                <c:pt idx="10">
                  <c:v>1856</c:v>
                </c:pt>
                <c:pt idx="11">
                  <c:v>4728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3-4F99-9423-106D0225DABD}"/>
            </c:ext>
          </c:extLst>
        </c:ser>
        <c:ser>
          <c:idx val="1"/>
          <c:order val="1"/>
          <c:tx>
            <c:strRef>
              <c:f>LOMBARTE!$C$2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LOMBARTE!$A$3:$A$14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LOMBARTE!$C$3:$C$14</c:f>
              <c:numCache>
                <c:formatCode>_-* #,##0\ "€"_-;\-* #,##0\ "€"_-;_-* "-"??\ "€"_-;_-@_-</c:formatCode>
                <c:ptCount val="12"/>
                <c:pt idx="0">
                  <c:v>4596</c:v>
                </c:pt>
                <c:pt idx="1">
                  <c:v>2112</c:v>
                </c:pt>
                <c:pt idx="2">
                  <c:v>-12482</c:v>
                </c:pt>
                <c:pt idx="3">
                  <c:v>7871</c:v>
                </c:pt>
                <c:pt idx="4">
                  <c:v>311</c:v>
                </c:pt>
                <c:pt idx="5">
                  <c:v>-10754</c:v>
                </c:pt>
                <c:pt idx="6">
                  <c:v>3560</c:v>
                </c:pt>
                <c:pt idx="7">
                  <c:v>3465</c:v>
                </c:pt>
                <c:pt idx="8">
                  <c:v>2894</c:v>
                </c:pt>
                <c:pt idx="9">
                  <c:v>-2044</c:v>
                </c:pt>
                <c:pt idx="10">
                  <c:v>-471</c:v>
                </c:pt>
                <c:pt idx="11">
                  <c:v>-4455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3-4F99-9423-106D0225DABD}"/>
            </c:ext>
          </c:extLst>
        </c:ser>
        <c:ser>
          <c:idx val="2"/>
          <c:order val="2"/>
          <c:tx>
            <c:strRef>
              <c:f>LOMBARTE!$D$2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LOMBARTE!$A$3:$A$14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LOMBARTE!$D$3:$D$14</c:f>
              <c:numCache>
                <c:formatCode>_-* #,##0\ "€"_-;\-* #,##0\ "€"_-;_-* "-"??\ "€"_-;_-@_-</c:formatCode>
                <c:ptCount val="12"/>
                <c:pt idx="0">
                  <c:v>-1831</c:v>
                </c:pt>
                <c:pt idx="1">
                  <c:v>1341</c:v>
                </c:pt>
                <c:pt idx="2">
                  <c:v>7500</c:v>
                </c:pt>
                <c:pt idx="3">
                  <c:v>-3751</c:v>
                </c:pt>
                <c:pt idx="4">
                  <c:v>-3140</c:v>
                </c:pt>
                <c:pt idx="5">
                  <c:v>6115</c:v>
                </c:pt>
                <c:pt idx="6">
                  <c:v>-1813</c:v>
                </c:pt>
                <c:pt idx="7">
                  <c:v>-43</c:v>
                </c:pt>
                <c:pt idx="8">
                  <c:v>1819</c:v>
                </c:pt>
                <c:pt idx="9">
                  <c:v>3491</c:v>
                </c:pt>
                <c:pt idx="10">
                  <c:v>299</c:v>
                </c:pt>
                <c:pt idx="11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3-4F99-9423-106D0225D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233407"/>
        <c:axId val="1689237247"/>
      </c:barChart>
      <c:catAx>
        <c:axId val="16892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9237247"/>
        <c:crosses val="autoZero"/>
        <c:auto val="1"/>
        <c:lblAlgn val="ctr"/>
        <c:lblOffset val="100"/>
        <c:noMultiLvlLbl val="0"/>
      </c:catAx>
      <c:valAx>
        <c:axId val="16892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923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LOMBARTE!$G$2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LOMBARTE!$F$3:$F$6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LOMBARTE!$G$3:$G$6</c:f>
              <c:numCache>
                <c:formatCode>_-* #,##0\ "€"_-;\-* #,##0\ "€"_-;_-* "-"??\ "€"_-;_-@_-</c:formatCode>
                <c:ptCount val="4"/>
                <c:pt idx="0">
                  <c:v>-4099</c:v>
                </c:pt>
                <c:pt idx="1">
                  <c:v>2685</c:v>
                </c:pt>
                <c:pt idx="2">
                  <c:v>-6101</c:v>
                </c:pt>
                <c:pt idx="3">
                  <c:v>5370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9-4D18-92FD-0EC16C915129}"/>
            </c:ext>
          </c:extLst>
        </c:ser>
        <c:ser>
          <c:idx val="1"/>
          <c:order val="1"/>
          <c:tx>
            <c:strRef>
              <c:f>LOMBARTE!$H$2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LOMBARTE!$F$3:$F$6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LOMBARTE!$H$3:$H$6</c:f>
              <c:numCache>
                <c:formatCode>_-* #,##0\ "€"_-;\-* #,##0\ "€"_-;_-* "-"??\ "€"_-;_-@_-</c:formatCode>
                <c:ptCount val="4"/>
                <c:pt idx="0">
                  <c:v>-5774</c:v>
                </c:pt>
                <c:pt idx="1">
                  <c:v>-2572</c:v>
                </c:pt>
                <c:pt idx="2">
                  <c:v>9919</c:v>
                </c:pt>
                <c:pt idx="3">
                  <c:v>-6970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9-4D18-92FD-0EC16C915129}"/>
            </c:ext>
          </c:extLst>
        </c:ser>
        <c:ser>
          <c:idx val="2"/>
          <c:order val="2"/>
          <c:tx>
            <c:strRef>
              <c:f>LOMBARTE!$I$2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LOMBARTE!$F$3:$F$6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LOMBARTE!$I$3:$I$6</c:f>
              <c:numCache>
                <c:formatCode>_-* #,##0\ "€"_-;\-* #,##0\ "€"_-;_-* "-"??\ "€"_-;_-@_-</c:formatCode>
                <c:ptCount val="4"/>
                <c:pt idx="0">
                  <c:v>7010</c:v>
                </c:pt>
                <c:pt idx="1">
                  <c:v>-776</c:v>
                </c:pt>
                <c:pt idx="2">
                  <c:v>-37</c:v>
                </c:pt>
                <c:pt idx="3">
                  <c:v>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9-4D18-92FD-0EC16C915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4046271"/>
        <c:axId val="1694036671"/>
      </c:barChart>
      <c:catAx>
        <c:axId val="169404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4036671"/>
        <c:crosses val="autoZero"/>
        <c:auto val="1"/>
        <c:lblAlgn val="ctr"/>
        <c:lblOffset val="100"/>
        <c:noMultiLvlLbl val="0"/>
      </c:catAx>
      <c:valAx>
        <c:axId val="16940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404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LOMBARTE!$L$2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LOMBARTE!$L$3</c:f>
              <c:numCache>
                <c:formatCode>_-* #,##0\ "€"_-;\-* #,##0\ "€"_-;_-* "-"??\ "€"_-;_-@_-</c:formatCode>
                <c:ptCount val="1"/>
                <c:pt idx="0">
                  <c:v>-2145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5-4475-A239-B7B575C20493}"/>
            </c:ext>
          </c:extLst>
        </c:ser>
        <c:ser>
          <c:idx val="2"/>
          <c:order val="2"/>
          <c:tx>
            <c:strRef>
              <c:f>LOMBARTE!$M$2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LOMBARTE!$M$3</c:f>
              <c:numCache>
                <c:formatCode>_-* #,##0\ "€"_-;\-* #,##0\ "€"_-;_-* "-"??\ "€"_-;_-@_-</c:formatCode>
                <c:ptCount val="1"/>
                <c:pt idx="0">
                  <c:v>-5397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5-4475-A239-B7B575C20493}"/>
            </c:ext>
          </c:extLst>
        </c:ser>
        <c:ser>
          <c:idx val="3"/>
          <c:order val="3"/>
          <c:tx>
            <c:strRef>
              <c:f>LOMBARTE!$N$2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LOMBARTE!$N$3</c:f>
              <c:numCache>
                <c:formatCode>_-* #,##0\ "€"_-;\-* #,##0\ "€"_-;_-* "-"??\ "€"_-;_-@_-</c:formatCode>
                <c:ptCount val="1"/>
                <c:pt idx="0">
                  <c:v>11020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5-4475-A239-B7B575C20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4040031"/>
        <c:axId val="16940429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LOMBARTE!$K$2</c15:sqref>
                        </c15:formulaRef>
                      </c:ext>
                    </c:extLst>
                    <c:strCache>
                      <c:ptCount val="1"/>
                      <c:pt idx="0">
                        <c:v>NUMÉRICO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LOMBARTE!$K$3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A5-4475-A239-B7B575C20493}"/>
                  </c:ext>
                </c:extLst>
              </c15:ser>
            </c15:filteredBarSeries>
          </c:ext>
        </c:extLst>
      </c:barChart>
      <c:catAx>
        <c:axId val="1694040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4042911"/>
        <c:crosses val="autoZero"/>
        <c:auto val="1"/>
        <c:lblAlgn val="ctr"/>
        <c:lblOffset val="100"/>
        <c:noMultiLvlLbl val="0"/>
      </c:catAx>
      <c:valAx>
        <c:axId val="169404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404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BEÑAT!$B$2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BEÑAT!$A$3:$A$14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BEÑAT!$B$3:$B$14</c:f>
              <c:numCache>
                <c:formatCode>_-* #,##0\ "€"_-;\-* #,##0\ "€"_-;_-* "-"??\ "€"_-;_-@_-</c:formatCode>
                <c:ptCount val="12"/>
                <c:pt idx="0">
                  <c:v>7602</c:v>
                </c:pt>
                <c:pt idx="1">
                  <c:v>-1529</c:v>
                </c:pt>
                <c:pt idx="2">
                  <c:v>-3785</c:v>
                </c:pt>
                <c:pt idx="3">
                  <c:v>-3790</c:v>
                </c:pt>
                <c:pt idx="4">
                  <c:v>-875</c:v>
                </c:pt>
                <c:pt idx="5">
                  <c:v>-3483</c:v>
                </c:pt>
                <c:pt idx="6">
                  <c:v>1743</c:v>
                </c:pt>
                <c:pt idx="7">
                  <c:v>-499</c:v>
                </c:pt>
                <c:pt idx="8">
                  <c:v>-4288</c:v>
                </c:pt>
                <c:pt idx="9">
                  <c:v>-6186</c:v>
                </c:pt>
                <c:pt idx="10">
                  <c:v>12821</c:v>
                </c:pt>
                <c:pt idx="11">
                  <c:v>11250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4BE0-92A6-6200AB3A0F56}"/>
            </c:ext>
          </c:extLst>
        </c:ser>
        <c:ser>
          <c:idx val="1"/>
          <c:order val="1"/>
          <c:tx>
            <c:strRef>
              <c:f>BEÑAT!$C$2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BEÑAT!$A$3:$A$14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BEÑAT!$C$3:$C$14</c:f>
              <c:numCache>
                <c:formatCode>_-* #,##0\ "€"_-;\-* #,##0\ "€"_-;_-* "-"??\ "€"_-;_-@_-</c:formatCode>
                <c:ptCount val="12"/>
                <c:pt idx="0">
                  <c:v>-7353</c:v>
                </c:pt>
                <c:pt idx="1">
                  <c:v>5035</c:v>
                </c:pt>
                <c:pt idx="2">
                  <c:v>-10400</c:v>
                </c:pt>
                <c:pt idx="3">
                  <c:v>3343</c:v>
                </c:pt>
                <c:pt idx="4">
                  <c:v>1350</c:v>
                </c:pt>
                <c:pt idx="5">
                  <c:v>-300</c:v>
                </c:pt>
                <c:pt idx="6">
                  <c:v>-368</c:v>
                </c:pt>
                <c:pt idx="7">
                  <c:v>8724</c:v>
                </c:pt>
                <c:pt idx="8">
                  <c:v>-4207</c:v>
                </c:pt>
                <c:pt idx="9">
                  <c:v>513</c:v>
                </c:pt>
                <c:pt idx="10">
                  <c:v>-4079</c:v>
                </c:pt>
                <c:pt idx="11">
                  <c:v>-9951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7-4BE0-92A6-6200AB3A0F56}"/>
            </c:ext>
          </c:extLst>
        </c:ser>
        <c:ser>
          <c:idx val="2"/>
          <c:order val="2"/>
          <c:tx>
            <c:strRef>
              <c:f>BEÑAT!$D$2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BEÑAT!$A$3:$A$14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BEÑAT!$D$3:$D$14</c:f>
              <c:numCache>
                <c:formatCode>_-* #,##0\ "€"_-;\-* #,##0\ "€"_-;_-* "-"??\ "€"_-;_-@_-</c:formatCode>
                <c:ptCount val="12"/>
                <c:pt idx="0">
                  <c:v>1648</c:v>
                </c:pt>
                <c:pt idx="1">
                  <c:v>-5791</c:v>
                </c:pt>
                <c:pt idx="2">
                  <c:v>6593</c:v>
                </c:pt>
                <c:pt idx="3">
                  <c:v>-1687</c:v>
                </c:pt>
                <c:pt idx="4">
                  <c:v>7356</c:v>
                </c:pt>
                <c:pt idx="5">
                  <c:v>2174</c:v>
                </c:pt>
                <c:pt idx="6">
                  <c:v>-1658</c:v>
                </c:pt>
                <c:pt idx="7">
                  <c:v>-9105</c:v>
                </c:pt>
                <c:pt idx="8">
                  <c:v>5199</c:v>
                </c:pt>
                <c:pt idx="9">
                  <c:v>1938</c:v>
                </c:pt>
                <c:pt idx="10">
                  <c:v>-4568</c:v>
                </c:pt>
                <c:pt idx="11">
                  <c:v>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7-4BE0-92A6-6200AB3A0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1016943"/>
        <c:axId val="1591017423"/>
      </c:barChart>
      <c:catAx>
        <c:axId val="159101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1017423"/>
        <c:crosses val="autoZero"/>
        <c:auto val="1"/>
        <c:lblAlgn val="ctr"/>
        <c:lblOffset val="100"/>
        <c:noMultiLvlLbl val="0"/>
      </c:catAx>
      <c:valAx>
        <c:axId val="15910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101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BEÑAT!$G$2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BEÑAT!$F$3:$F$6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BEÑAT!$G$3:$G$6</c:f>
              <c:numCache>
                <c:formatCode>_-* #,##0\ "€"_-;\-* #,##0\ "€"_-;_-* "-"??\ "€"_-;_-@_-</c:formatCode>
                <c:ptCount val="4"/>
                <c:pt idx="0">
                  <c:v>2288</c:v>
                </c:pt>
                <c:pt idx="1">
                  <c:v>-8148</c:v>
                </c:pt>
                <c:pt idx="2">
                  <c:v>-4753</c:v>
                </c:pt>
                <c:pt idx="3">
                  <c:v>17885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B-40A5-B233-8DD5A85EED3B}"/>
            </c:ext>
          </c:extLst>
        </c:ser>
        <c:ser>
          <c:idx val="1"/>
          <c:order val="1"/>
          <c:tx>
            <c:strRef>
              <c:f>BEÑAT!$H$2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BEÑAT!$F$3:$F$6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BEÑAT!$H$3:$H$6</c:f>
              <c:numCache>
                <c:formatCode>_-* #,##0\ "€"_-;\-* #,##0\ "€"_-;_-* "-"??\ "€"_-;_-@_-</c:formatCode>
                <c:ptCount val="4"/>
                <c:pt idx="0">
                  <c:v>-12718</c:v>
                </c:pt>
                <c:pt idx="1">
                  <c:v>4393</c:v>
                </c:pt>
                <c:pt idx="2">
                  <c:v>4149</c:v>
                </c:pt>
                <c:pt idx="3">
                  <c:v>-13517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B-40A5-B233-8DD5A85EED3B}"/>
            </c:ext>
          </c:extLst>
        </c:ser>
        <c:ser>
          <c:idx val="2"/>
          <c:order val="2"/>
          <c:tx>
            <c:strRef>
              <c:f>BEÑAT!$I$2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BEÑAT!$F$3:$F$6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BEÑAT!$I$3:$I$6</c:f>
              <c:numCache>
                <c:formatCode>_-* #,##0\ "€"_-;\-* #,##0\ "€"_-;_-* "-"??\ "€"_-;_-@_-</c:formatCode>
                <c:ptCount val="4"/>
                <c:pt idx="0">
                  <c:v>2450</c:v>
                </c:pt>
                <c:pt idx="1">
                  <c:v>7843</c:v>
                </c:pt>
                <c:pt idx="2">
                  <c:v>-5564</c:v>
                </c:pt>
                <c:pt idx="3">
                  <c:v>-963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B-40A5-B233-8DD5A85E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9100063"/>
        <c:axId val="1699101503"/>
      </c:barChart>
      <c:catAx>
        <c:axId val="169910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9101503"/>
        <c:crosses val="autoZero"/>
        <c:auto val="1"/>
        <c:lblAlgn val="ctr"/>
        <c:lblOffset val="100"/>
        <c:noMultiLvlLbl val="0"/>
      </c:catAx>
      <c:valAx>
        <c:axId val="169910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910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BEÑAT!$L$2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BEÑAT!$L$3</c:f>
              <c:numCache>
                <c:formatCode>_-* #,##0\ "€"_-;\-* #,##0\ "€"_-;_-* "-"??\ "€"_-;_-@_-</c:formatCode>
                <c:ptCount val="1"/>
                <c:pt idx="0">
                  <c:v>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4-43EF-ABA9-ADD5808E0C49}"/>
            </c:ext>
          </c:extLst>
        </c:ser>
        <c:ser>
          <c:idx val="2"/>
          <c:order val="2"/>
          <c:tx>
            <c:strRef>
              <c:f>BEÑAT!$M$2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BEÑAT!$M$3</c:f>
              <c:numCache>
                <c:formatCode>_-* #,##0\ "€"_-;\-* #,##0\ "€"_-;_-* "-"??\ "€"_-;_-@_-</c:formatCode>
                <c:ptCount val="1"/>
                <c:pt idx="0">
                  <c:v>-17693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4-43EF-ABA9-ADD5808E0C49}"/>
            </c:ext>
          </c:extLst>
        </c:ser>
        <c:ser>
          <c:idx val="3"/>
          <c:order val="3"/>
          <c:tx>
            <c:strRef>
              <c:f>BEÑAT!$N$2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BEÑAT!$N$3</c:f>
              <c:numCache>
                <c:formatCode>_-* #,##0\ "€"_-;\-* #,##0\ "€"_-;_-* "-"??\ "€"_-;_-@_-</c:formatCode>
                <c:ptCount val="1"/>
                <c:pt idx="0">
                  <c:v>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64-43EF-ABA9-ADD5808E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4036191"/>
        <c:axId val="1694039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BEÑAT!$K$2</c15:sqref>
                        </c15:formulaRef>
                      </c:ext>
                    </c:extLst>
                    <c:strCache>
                      <c:ptCount val="1"/>
                      <c:pt idx="0">
                        <c:v>NUMÉRICO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BEÑAT!$K$3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364-43EF-ABA9-ADD5808E0C49}"/>
                  </c:ext>
                </c:extLst>
              </c15:ser>
            </c15:filteredBarSeries>
          </c:ext>
        </c:extLst>
      </c:barChart>
      <c:catAx>
        <c:axId val="1694036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4039071"/>
        <c:crosses val="autoZero"/>
        <c:auto val="1"/>
        <c:lblAlgn val="ctr"/>
        <c:lblOffset val="100"/>
        <c:noMultiLvlLbl val="0"/>
      </c:catAx>
      <c:valAx>
        <c:axId val="169403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40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ANTONIO!$B$2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ANTONIO!$A$3:$A$14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ANTONIO!$B$3:$B$14</c:f>
              <c:numCache>
                <c:formatCode>_-* #,##0\ "€"_-;\-* #,##0\ "€"_-;_-* "-"??\ "€"_-;_-@_-</c:formatCode>
                <c:ptCount val="12"/>
                <c:pt idx="0">
                  <c:v>12794</c:v>
                </c:pt>
                <c:pt idx="1">
                  <c:v>-12718</c:v>
                </c:pt>
                <c:pt idx="2">
                  <c:v>-124</c:v>
                </c:pt>
                <c:pt idx="3">
                  <c:v>-4469</c:v>
                </c:pt>
                <c:pt idx="4">
                  <c:v>-17935</c:v>
                </c:pt>
                <c:pt idx="5">
                  <c:v>-3119</c:v>
                </c:pt>
                <c:pt idx="6">
                  <c:v>-11096</c:v>
                </c:pt>
                <c:pt idx="7">
                  <c:v>3594</c:v>
                </c:pt>
                <c:pt idx="8">
                  <c:v>4408</c:v>
                </c:pt>
                <c:pt idx="9">
                  <c:v>-4612</c:v>
                </c:pt>
                <c:pt idx="10">
                  <c:v>-5812</c:v>
                </c:pt>
                <c:pt idx="11">
                  <c:v>-1105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4-44C5-B18F-3B4FB1ECF97D}"/>
            </c:ext>
          </c:extLst>
        </c:ser>
        <c:ser>
          <c:idx val="1"/>
          <c:order val="1"/>
          <c:tx>
            <c:strRef>
              <c:f>ANTONIO!$C$2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ANTONIO!$A$3:$A$14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ANTONIO!$C$3:$C$14</c:f>
              <c:numCache>
                <c:formatCode>#,##0.00\ "€"</c:formatCode>
                <c:ptCount val="12"/>
                <c:pt idx="0">
                  <c:v>-4772</c:v>
                </c:pt>
                <c:pt idx="1">
                  <c:v>-1786</c:v>
                </c:pt>
                <c:pt idx="2">
                  <c:v>-14544</c:v>
                </c:pt>
                <c:pt idx="3">
                  <c:v>6710</c:v>
                </c:pt>
                <c:pt idx="4">
                  <c:v>4496</c:v>
                </c:pt>
                <c:pt idx="5">
                  <c:v>4034</c:v>
                </c:pt>
                <c:pt idx="6">
                  <c:v>9673</c:v>
                </c:pt>
                <c:pt idx="7">
                  <c:v>-7176</c:v>
                </c:pt>
                <c:pt idx="8">
                  <c:v>-1009</c:v>
                </c:pt>
                <c:pt idx="9">
                  <c:v>5597</c:v>
                </c:pt>
                <c:pt idx="10">
                  <c:v>-4225</c:v>
                </c:pt>
                <c:pt idx="11">
                  <c:v>-1206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4-44C5-B18F-3B4FB1ECF97D}"/>
            </c:ext>
          </c:extLst>
        </c:ser>
        <c:ser>
          <c:idx val="2"/>
          <c:order val="2"/>
          <c:tx>
            <c:strRef>
              <c:f>ANTONIO!$D$2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ANTONIO!$A$3:$A$14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ANTONIO!$D$3:$D$14</c:f>
              <c:numCache>
                <c:formatCode>#,##0.00\ "€"</c:formatCode>
                <c:ptCount val="12"/>
                <c:pt idx="0" formatCode="_-* #,##0\ &quot;€&quot;_-;\-* #,##0\ &quot;€&quot;_-;_-* &quot;-&quot;??\ &quot;€&quot;_-;_-@_-">
                  <c:v>-4426</c:v>
                </c:pt>
                <c:pt idx="1">
                  <c:v>-3471</c:v>
                </c:pt>
                <c:pt idx="2" formatCode="_-* #,##0\ &quot;€&quot;_-;\-* #,##0\ &quot;€&quot;_-;_-* &quot;-&quot;??\ &quot;€&quot;_-;_-@_-">
                  <c:v>4937</c:v>
                </c:pt>
                <c:pt idx="3" formatCode="_-* #,##0\ &quot;€&quot;_-;\-* #,##0\ &quot;€&quot;_-;_-* &quot;-&quot;??\ &quot;€&quot;_-;_-@_-">
                  <c:v>-5489</c:v>
                </c:pt>
                <c:pt idx="4" formatCode="_-* #,##0\ &quot;€&quot;_-;\-* #,##0\ &quot;€&quot;_-;_-* &quot;-&quot;??\ &quot;€&quot;_-;_-@_-">
                  <c:v>-8347</c:v>
                </c:pt>
                <c:pt idx="5" formatCode="_-* #,##0\ &quot;€&quot;_-;\-* #,##0\ &quot;€&quot;_-;_-* &quot;-&quot;??\ &quot;€&quot;_-;_-@_-">
                  <c:v>6751</c:v>
                </c:pt>
                <c:pt idx="6" formatCode="_-* #,##0\ &quot;€&quot;_-;\-* #,##0\ &quot;€&quot;_-;_-* &quot;-&quot;??\ &quot;€&quot;_-;_-@_-">
                  <c:v>-5678</c:v>
                </c:pt>
                <c:pt idx="7" formatCode="_-* #,##0\ &quot;€&quot;_-;\-* #,##0\ &quot;€&quot;_-;_-* &quot;-&quot;??\ &quot;€&quot;_-;_-@_-">
                  <c:v>-1470</c:v>
                </c:pt>
                <c:pt idx="8" formatCode="_-* #,##0\ &quot;€&quot;_-;\-* #,##0\ &quot;€&quot;_-;_-* &quot;-&quot;??\ &quot;€&quot;_-;_-@_-">
                  <c:v>1753</c:v>
                </c:pt>
                <c:pt idx="9" formatCode="_-* #,##0\ &quot;€&quot;_-;\-* #,##0\ &quot;€&quot;_-;_-* &quot;-&quot;??\ &quot;€&quot;_-;_-@_-">
                  <c:v>-3749</c:v>
                </c:pt>
                <c:pt idx="10" formatCode="_-* #,##0\ &quot;€&quot;_-;\-* #,##0\ &quot;€&quot;_-;_-* &quot;-&quot;??\ &quot;€&quot;_-;_-@_-">
                  <c:v>-706</c:v>
                </c:pt>
                <c:pt idx="11" formatCode="_-* #,##0\ &quot;€&quot;_-;\-* #,##0\ &quot;€&quot;_-;_-* &quot;-&quot;??\ &quot;€&quot;_-;_-@_-">
                  <c:v>-1949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4-44C5-B18F-3B4FB1EC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9966207"/>
        <c:axId val="1599965727"/>
      </c:barChart>
      <c:catAx>
        <c:axId val="159996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9965727"/>
        <c:crosses val="autoZero"/>
        <c:auto val="1"/>
        <c:lblAlgn val="ctr"/>
        <c:lblOffset val="100"/>
        <c:noMultiLvlLbl val="0"/>
      </c:catAx>
      <c:valAx>
        <c:axId val="15999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996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ANTONIO!$G$2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ANTONIO!$F$3:$F$6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ANTONIO!$G$3:$G$6</c:f>
              <c:numCache>
                <c:formatCode>_-* #,##0\ "€"_-;\-* #,##0\ "€"_-;_-* "-"??\ "€"_-;_-@_-</c:formatCode>
                <c:ptCount val="4"/>
                <c:pt idx="0">
                  <c:v>-48</c:v>
                </c:pt>
                <c:pt idx="1">
                  <c:v>-25523</c:v>
                </c:pt>
                <c:pt idx="2">
                  <c:v>-3094</c:v>
                </c:pt>
                <c:pt idx="3">
                  <c:v>-11529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F-419E-8042-835917DC19CA}"/>
            </c:ext>
          </c:extLst>
        </c:ser>
        <c:ser>
          <c:idx val="1"/>
          <c:order val="1"/>
          <c:tx>
            <c:strRef>
              <c:f>ANTONIO!$H$2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ANTONIO!$F$3:$F$6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ANTONIO!$H$3:$H$6</c:f>
              <c:numCache>
                <c:formatCode>_-* #,##0\ "€"_-;\-* #,##0\ "€"_-;_-* "-"??\ "€"_-;_-@_-</c:formatCode>
                <c:ptCount val="4"/>
                <c:pt idx="0">
                  <c:v>-21102</c:v>
                </c:pt>
                <c:pt idx="1">
                  <c:v>15240</c:v>
                </c:pt>
                <c:pt idx="2">
                  <c:v>1488</c:v>
                </c:pt>
                <c:pt idx="3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F-419E-8042-835917DC19CA}"/>
            </c:ext>
          </c:extLst>
        </c:ser>
        <c:ser>
          <c:idx val="2"/>
          <c:order val="2"/>
          <c:tx>
            <c:strRef>
              <c:f>ANTONIO!$I$2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ANTONIO!$F$3:$F$6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ANTONIO!$I$3:$I$6</c:f>
              <c:numCache>
                <c:formatCode>_-* #,##0\ "€"_-;\-* #,##0\ "€"_-;_-* "-"??\ "€"_-;_-@_-</c:formatCode>
                <c:ptCount val="4"/>
                <c:pt idx="0">
                  <c:v>-2960</c:v>
                </c:pt>
                <c:pt idx="1">
                  <c:v>-7085</c:v>
                </c:pt>
                <c:pt idx="2">
                  <c:v>-5395</c:v>
                </c:pt>
                <c:pt idx="3">
                  <c:v>-6404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F-419E-8042-835917DC1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5607967"/>
        <c:axId val="1695606527"/>
      </c:barChart>
      <c:catAx>
        <c:axId val="169560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5606527"/>
        <c:crosses val="autoZero"/>
        <c:auto val="1"/>
        <c:lblAlgn val="ctr"/>
        <c:lblOffset val="100"/>
        <c:noMultiLvlLbl val="0"/>
      </c:catAx>
      <c:valAx>
        <c:axId val="16956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560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ANTONIO!$L$2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ANTONIO!$L$3</c:f>
              <c:numCache>
                <c:formatCode>_-* #,##0\ "€"_-;\-* #,##0\ "€"_-;_-* "-"??\ "€"_-;_-@_-</c:formatCode>
                <c:ptCount val="1"/>
                <c:pt idx="0">
                  <c:v>-40194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9-463B-84D4-E56E1BDF9355}"/>
            </c:ext>
          </c:extLst>
        </c:ser>
        <c:ser>
          <c:idx val="2"/>
          <c:order val="2"/>
          <c:tx>
            <c:strRef>
              <c:f>ANTONIO!$M$2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ANTONIO!$M$3</c:f>
              <c:numCache>
                <c:formatCode>_-* #,##0\ "€"_-;\-* #,##0\ "€"_-;_-* "-"??\ "€"_-;_-@_-</c:formatCode>
                <c:ptCount val="1"/>
                <c:pt idx="0">
                  <c:v>-4208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89-463B-84D4-E56E1BDF9355}"/>
            </c:ext>
          </c:extLst>
        </c:ser>
        <c:ser>
          <c:idx val="3"/>
          <c:order val="3"/>
          <c:tx>
            <c:strRef>
              <c:f>ANTONIO!$N$2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ANTONIO!$N$3</c:f>
              <c:numCache>
                <c:formatCode>_-* #,##0\ "€"_-;\-* #,##0\ "€"_-;_-* "-"??\ "€"_-;_-@_-</c:formatCode>
                <c:ptCount val="1"/>
                <c:pt idx="0">
                  <c:v>-21844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89-463B-84D4-E56E1BDF9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1255823"/>
        <c:axId val="19212486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ANTONIO!$K$2</c15:sqref>
                        </c15:formulaRef>
                      </c:ext>
                    </c:extLst>
                    <c:strCache>
                      <c:ptCount val="1"/>
                      <c:pt idx="0">
                        <c:v>NUMÉRICO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ANTONIO!$K$3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289-463B-84D4-E56E1BDF9355}"/>
                  </c:ext>
                </c:extLst>
              </c15:ser>
            </c15:filteredBarSeries>
          </c:ext>
        </c:extLst>
      </c:barChart>
      <c:catAx>
        <c:axId val="1921255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1248623"/>
        <c:crosses val="autoZero"/>
        <c:auto val="1"/>
        <c:lblAlgn val="ctr"/>
        <c:lblOffset val="100"/>
        <c:noMultiLvlLbl val="0"/>
      </c:catAx>
      <c:valAx>
        <c:axId val="19212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125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ÁNGEL!$B$2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ÁNGEL!$A$3:$A$14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ÁNGEL!$B$3:$B$14</c:f>
              <c:numCache>
                <c:formatCode>_-* #,##0\ "€"_-;\-* #,##0\ "€"_-;_-* "-"??\ "€"_-;_-@_-</c:formatCode>
                <c:ptCount val="12"/>
                <c:pt idx="0">
                  <c:v>26678</c:v>
                </c:pt>
                <c:pt idx="1">
                  <c:v>-14621</c:v>
                </c:pt>
                <c:pt idx="2">
                  <c:v>10124</c:v>
                </c:pt>
                <c:pt idx="3">
                  <c:v>-7740</c:v>
                </c:pt>
                <c:pt idx="4">
                  <c:v>-1891</c:v>
                </c:pt>
                <c:pt idx="5">
                  <c:v>-14446</c:v>
                </c:pt>
                <c:pt idx="6">
                  <c:v>803</c:v>
                </c:pt>
                <c:pt idx="7">
                  <c:v>-3454</c:v>
                </c:pt>
                <c:pt idx="8">
                  <c:v>-4802</c:v>
                </c:pt>
                <c:pt idx="9">
                  <c:v>-2832</c:v>
                </c:pt>
                <c:pt idx="10">
                  <c:v>4640</c:v>
                </c:pt>
                <c:pt idx="11">
                  <c:v>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6-4906-8D81-A710298979AF}"/>
            </c:ext>
          </c:extLst>
        </c:ser>
        <c:ser>
          <c:idx val="1"/>
          <c:order val="1"/>
          <c:tx>
            <c:strRef>
              <c:f>ÁNGEL!$C$2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ÁNGEL!$A$3:$A$14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ÁNGEL!$C$3:$C$14</c:f>
              <c:numCache>
                <c:formatCode>_-* #,##0\ "€"_-;\-* #,##0\ "€"_-;_-* "-"??\ "€"_-;_-@_-</c:formatCode>
                <c:ptCount val="12"/>
                <c:pt idx="0">
                  <c:v>-9645</c:v>
                </c:pt>
                <c:pt idx="1">
                  <c:v>-6044</c:v>
                </c:pt>
                <c:pt idx="2">
                  <c:v>-12062</c:v>
                </c:pt>
                <c:pt idx="3">
                  <c:v>-5721</c:v>
                </c:pt>
                <c:pt idx="4">
                  <c:v>11762</c:v>
                </c:pt>
                <c:pt idx="5">
                  <c:v>-7233</c:v>
                </c:pt>
                <c:pt idx="6">
                  <c:v>-3524</c:v>
                </c:pt>
                <c:pt idx="7">
                  <c:v>-1201</c:v>
                </c:pt>
                <c:pt idx="8">
                  <c:v>-13616</c:v>
                </c:pt>
                <c:pt idx="9">
                  <c:v>-5985</c:v>
                </c:pt>
                <c:pt idx="10">
                  <c:v>5935</c:v>
                </c:pt>
                <c:pt idx="11">
                  <c:v>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6-4906-8D81-A710298979AF}"/>
            </c:ext>
          </c:extLst>
        </c:ser>
        <c:ser>
          <c:idx val="2"/>
          <c:order val="2"/>
          <c:tx>
            <c:strRef>
              <c:f>ÁNGEL!$D$2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ÁNGEL!$A$3:$A$14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ÁNGEL!$D$3:$D$14</c:f>
              <c:numCache>
                <c:formatCode>_-* #,##0\ "€"_-;\-* #,##0\ "€"_-;_-* "-"??\ "€"_-;_-@_-</c:formatCode>
                <c:ptCount val="12"/>
                <c:pt idx="0">
                  <c:v>-8219</c:v>
                </c:pt>
                <c:pt idx="1">
                  <c:v>-9088</c:v>
                </c:pt>
                <c:pt idx="2">
                  <c:v>8437</c:v>
                </c:pt>
                <c:pt idx="3">
                  <c:v>-3180</c:v>
                </c:pt>
                <c:pt idx="4">
                  <c:v>-17268</c:v>
                </c:pt>
                <c:pt idx="5">
                  <c:v>-1362</c:v>
                </c:pt>
                <c:pt idx="6">
                  <c:v>-6951</c:v>
                </c:pt>
                <c:pt idx="7">
                  <c:v>-9826</c:v>
                </c:pt>
                <c:pt idx="8">
                  <c:v>-5316</c:v>
                </c:pt>
                <c:pt idx="9">
                  <c:v>-11125</c:v>
                </c:pt>
                <c:pt idx="10">
                  <c:v>-15303</c:v>
                </c:pt>
                <c:pt idx="11">
                  <c:v>-8712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46-4906-8D81-A71029897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5842447"/>
        <c:axId val="1355844367"/>
      </c:barChart>
      <c:catAx>
        <c:axId val="135584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5844367"/>
        <c:crosses val="autoZero"/>
        <c:auto val="1"/>
        <c:lblAlgn val="ctr"/>
        <c:lblOffset val="100"/>
        <c:noMultiLvlLbl val="0"/>
      </c:catAx>
      <c:valAx>
        <c:axId val="135584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584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ÁNGEL!$G$2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ÁNGEL!$F$3:$F$6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ÁNGEL!$G$3:$G$6</c:f>
              <c:numCache>
                <c:formatCode>_-* #,##0\ "€"_-;\-* #,##0\ "€"_-;_-* "-"??\ "€"_-;_-@_-</c:formatCode>
                <c:ptCount val="4"/>
                <c:pt idx="0">
                  <c:v>22181</c:v>
                </c:pt>
                <c:pt idx="1">
                  <c:v>-24077</c:v>
                </c:pt>
                <c:pt idx="2">
                  <c:v>7324</c:v>
                </c:pt>
                <c:pt idx="3">
                  <c:v>-6270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2-471E-8EDB-024F1F683455}"/>
            </c:ext>
          </c:extLst>
        </c:ser>
        <c:ser>
          <c:idx val="1"/>
          <c:order val="1"/>
          <c:tx>
            <c:strRef>
              <c:f>ÁNGEL!$H$2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ÁNGEL!$F$3:$F$6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ÁNGEL!$H$3:$H$6</c:f>
              <c:numCache>
                <c:formatCode>_-* #,##0\ "€"_-;\-* #,##0\ "€"_-;_-* "-"??\ "€"_-;_-@_-</c:formatCode>
                <c:ptCount val="4"/>
                <c:pt idx="0">
                  <c:v>-27751</c:v>
                </c:pt>
                <c:pt idx="1">
                  <c:v>-1192</c:v>
                </c:pt>
                <c:pt idx="2">
                  <c:v>-18341</c:v>
                </c:pt>
                <c:pt idx="3">
                  <c:v>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2-471E-8EDB-024F1F683455}"/>
            </c:ext>
          </c:extLst>
        </c:ser>
        <c:ser>
          <c:idx val="2"/>
          <c:order val="2"/>
          <c:tx>
            <c:strRef>
              <c:f>ÁNGEL!$I$2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ÁNGEL!$F$3:$F$6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ÁNGEL!$I$3:$I$6</c:f>
              <c:numCache>
                <c:formatCode>_-* #,##0\ "€"_-;\-* #,##0\ "€"_-;_-* "-"??\ "€"_-;_-@_-</c:formatCode>
                <c:ptCount val="4"/>
                <c:pt idx="0">
                  <c:v>-8870</c:v>
                </c:pt>
                <c:pt idx="1">
                  <c:v>-21810</c:v>
                </c:pt>
                <c:pt idx="2">
                  <c:v>-22093</c:v>
                </c:pt>
                <c:pt idx="3">
                  <c:v>-35140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2-471E-8EDB-024F1F683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0429663"/>
        <c:axId val="1920426303"/>
      </c:barChart>
      <c:catAx>
        <c:axId val="192042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0426303"/>
        <c:crosses val="autoZero"/>
        <c:auto val="1"/>
        <c:lblAlgn val="ctr"/>
        <c:lblOffset val="100"/>
        <c:noMultiLvlLbl val="0"/>
      </c:catAx>
      <c:valAx>
        <c:axId val="19204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042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ÁNGEL!$K$2</c:f>
              <c:strCache>
                <c:ptCount val="1"/>
                <c:pt idx="0">
                  <c:v>NUMÉRICO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ÁNGEL!$K$3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60A-47A5-9233-8CD227E04671}"/>
            </c:ext>
          </c:extLst>
        </c:ser>
        <c:ser>
          <c:idx val="1"/>
          <c:order val="1"/>
          <c:tx>
            <c:strRef>
              <c:f>ÁNGEL!$L$2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ÁNGEL!$L$3</c:f>
              <c:numCache>
                <c:formatCode>_-* #,##0\ "€"_-;\-* #,##0\ "€"_-;_-* "-"??\ "€"_-;_-@_-</c:formatCode>
                <c:ptCount val="1"/>
                <c:pt idx="0">
                  <c:v>-842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A-47A5-9233-8CD227E04671}"/>
            </c:ext>
          </c:extLst>
        </c:ser>
        <c:ser>
          <c:idx val="2"/>
          <c:order val="2"/>
          <c:tx>
            <c:strRef>
              <c:f>ÁNGEL!$M$2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ÁNGEL!$M$3</c:f>
              <c:numCache>
                <c:formatCode>_-* #,##0\ "€"_-;\-* #,##0\ "€"_-;_-* "-"??\ "€"_-;_-@_-</c:formatCode>
                <c:ptCount val="1"/>
                <c:pt idx="0">
                  <c:v>-45380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A-47A5-9233-8CD227E04671}"/>
            </c:ext>
          </c:extLst>
        </c:ser>
        <c:ser>
          <c:idx val="3"/>
          <c:order val="3"/>
          <c:tx>
            <c:strRef>
              <c:f>ÁNGEL!$N$2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ÁNGEL!$N$3</c:f>
              <c:numCache>
                <c:formatCode>_-* #,##0\ "€"_-;\-* #,##0\ "€"_-;_-* "-"??\ "€"_-;_-@_-</c:formatCode>
                <c:ptCount val="1"/>
                <c:pt idx="0">
                  <c:v>-87913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A-47A5-9233-8CD227E04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0424863"/>
        <c:axId val="1920423903"/>
      </c:barChart>
      <c:catAx>
        <c:axId val="1920424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0423903"/>
        <c:crosses val="autoZero"/>
        <c:auto val="1"/>
        <c:lblAlgn val="ctr"/>
        <c:lblOffset val="100"/>
        <c:noMultiLvlLbl val="0"/>
      </c:catAx>
      <c:valAx>
        <c:axId val="192042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04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CORESUR!$B$2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CORESUR!$A$3:$A$14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CORESUR!$B$3:$B$14</c:f>
              <c:numCache>
                <c:formatCode>_-* #,##0\ "€"_-;\-* #,##0\ "€"_-;_-* "-"??\ "€"_-;_-@_-</c:formatCode>
                <c:ptCount val="12"/>
                <c:pt idx="0">
                  <c:v>-1142</c:v>
                </c:pt>
                <c:pt idx="1">
                  <c:v>-8474</c:v>
                </c:pt>
                <c:pt idx="2">
                  <c:v>1065</c:v>
                </c:pt>
                <c:pt idx="3">
                  <c:v>-8490</c:v>
                </c:pt>
                <c:pt idx="4">
                  <c:v>-5156</c:v>
                </c:pt>
                <c:pt idx="5">
                  <c:v>-3859</c:v>
                </c:pt>
                <c:pt idx="6">
                  <c:v>5080</c:v>
                </c:pt>
                <c:pt idx="7">
                  <c:v>-3454</c:v>
                </c:pt>
                <c:pt idx="8">
                  <c:v>-4802</c:v>
                </c:pt>
                <c:pt idx="9">
                  <c:v>-2832</c:v>
                </c:pt>
                <c:pt idx="10">
                  <c:v>4640</c:v>
                </c:pt>
                <c:pt idx="11">
                  <c:v>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E-4A07-A35A-602A030A62DA}"/>
            </c:ext>
          </c:extLst>
        </c:ser>
        <c:ser>
          <c:idx val="1"/>
          <c:order val="1"/>
          <c:tx>
            <c:strRef>
              <c:f>CORESUR!$C$2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CORESUR!$A$3:$A$14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CORESUR!$C$3:$C$14</c:f>
              <c:numCache>
                <c:formatCode>_-* #,##0\ "€"_-;\-* #,##0\ "€"_-;_-* "-"??\ "€"_-;_-@_-</c:formatCode>
                <c:ptCount val="12"/>
                <c:pt idx="0">
                  <c:v>-835</c:v>
                </c:pt>
                <c:pt idx="1">
                  <c:v>-2441</c:v>
                </c:pt>
                <c:pt idx="2">
                  <c:v>-3808</c:v>
                </c:pt>
                <c:pt idx="3">
                  <c:v>4648</c:v>
                </c:pt>
                <c:pt idx="4">
                  <c:v>4130</c:v>
                </c:pt>
                <c:pt idx="5">
                  <c:v>636</c:v>
                </c:pt>
                <c:pt idx="6">
                  <c:v>-4495</c:v>
                </c:pt>
                <c:pt idx="7">
                  <c:v>771</c:v>
                </c:pt>
                <c:pt idx="8">
                  <c:v>-126</c:v>
                </c:pt>
                <c:pt idx="9">
                  <c:v>3998</c:v>
                </c:pt>
                <c:pt idx="10">
                  <c:v>-5047</c:v>
                </c:pt>
                <c:pt idx="11">
                  <c:v>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E-4A07-A35A-602A030A62DA}"/>
            </c:ext>
          </c:extLst>
        </c:ser>
        <c:ser>
          <c:idx val="2"/>
          <c:order val="2"/>
          <c:tx>
            <c:strRef>
              <c:f>CORESUR!$D$2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CORESUR!$A$3:$A$14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CORESUR!$D$3:$D$14</c:f>
              <c:numCache>
                <c:formatCode>_-* #,##0\ "€"_-;\-* #,##0\ "€"_-;_-* "-"??\ "€"_-;_-@_-</c:formatCode>
                <c:ptCount val="12"/>
                <c:pt idx="0">
                  <c:v>-3013</c:v>
                </c:pt>
                <c:pt idx="1">
                  <c:v>379</c:v>
                </c:pt>
                <c:pt idx="2">
                  <c:v>4936</c:v>
                </c:pt>
                <c:pt idx="3">
                  <c:v>-1777</c:v>
                </c:pt>
                <c:pt idx="4">
                  <c:v>-5625</c:v>
                </c:pt>
                <c:pt idx="5">
                  <c:v>515</c:v>
                </c:pt>
                <c:pt idx="6">
                  <c:v>2648</c:v>
                </c:pt>
                <c:pt idx="7">
                  <c:v>-1116</c:v>
                </c:pt>
                <c:pt idx="8">
                  <c:v>1916</c:v>
                </c:pt>
                <c:pt idx="9">
                  <c:v>-1718</c:v>
                </c:pt>
                <c:pt idx="10">
                  <c:v>-941</c:v>
                </c:pt>
                <c:pt idx="11">
                  <c:v>-4485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E-4A07-A35A-602A030A6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8330239"/>
        <c:axId val="1418332159"/>
      </c:barChart>
      <c:catAx>
        <c:axId val="141833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8332159"/>
        <c:crosses val="autoZero"/>
        <c:auto val="1"/>
        <c:lblAlgn val="ctr"/>
        <c:lblOffset val="100"/>
        <c:noMultiLvlLbl val="0"/>
      </c:catAx>
      <c:valAx>
        <c:axId val="141833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833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CORESUR!$G$2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CORESUR!$F$3:$F$6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CORESUR!$G$3:$G$6</c:f>
              <c:numCache>
                <c:formatCode>_-* #,##0\ "€"_-;\-* #,##0\ "€"_-;_-* "-"??\ "€"_-;_-@_-</c:formatCode>
                <c:ptCount val="4"/>
                <c:pt idx="0">
                  <c:v>-8551</c:v>
                </c:pt>
                <c:pt idx="1">
                  <c:v>-17505</c:v>
                </c:pt>
                <c:pt idx="2">
                  <c:v>-3176</c:v>
                </c:pt>
                <c:pt idx="3">
                  <c:v>5820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3-425C-A627-C5C25BF74A2E}"/>
            </c:ext>
          </c:extLst>
        </c:ser>
        <c:ser>
          <c:idx val="1"/>
          <c:order val="1"/>
          <c:tx>
            <c:strRef>
              <c:f>CORESUR!$H$2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CORESUR!$F$3:$F$6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CORESUR!$H$3:$H$6</c:f>
              <c:numCache>
                <c:formatCode>_-* #,##0\ "€"_-;\-* #,##0\ "€"_-;_-* "-"??\ "€"_-;_-@_-</c:formatCode>
                <c:ptCount val="4"/>
                <c:pt idx="0">
                  <c:v>-7084</c:v>
                </c:pt>
                <c:pt idx="1">
                  <c:v>9414</c:v>
                </c:pt>
                <c:pt idx="2">
                  <c:v>-3850</c:v>
                </c:pt>
                <c:pt idx="3">
                  <c:v>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3-425C-A627-C5C25BF74A2E}"/>
            </c:ext>
          </c:extLst>
        </c:ser>
        <c:ser>
          <c:idx val="2"/>
          <c:order val="2"/>
          <c:tx>
            <c:strRef>
              <c:f>CORESUR!$I$2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CORESUR!$F$3:$F$6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CORESUR!$I$3:$I$6</c:f>
              <c:numCache>
                <c:formatCode>_-* #,##0\ "€"_-;\-* #,##0\ "€"_-;_-* "-"??\ "€"_-;_-@_-</c:formatCode>
                <c:ptCount val="4"/>
                <c:pt idx="0">
                  <c:v>2302</c:v>
                </c:pt>
                <c:pt idx="1">
                  <c:v>-6887</c:v>
                </c:pt>
                <c:pt idx="2">
                  <c:v>3448</c:v>
                </c:pt>
                <c:pt idx="3">
                  <c:v>-7144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13-425C-A627-C5C25BF74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4864271"/>
        <c:axId val="1954860911"/>
      </c:barChart>
      <c:catAx>
        <c:axId val="195486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860911"/>
        <c:crosses val="autoZero"/>
        <c:auto val="1"/>
        <c:lblAlgn val="ctr"/>
        <c:lblOffset val="100"/>
        <c:noMultiLvlLbl val="0"/>
      </c:catAx>
      <c:valAx>
        <c:axId val="195486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86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CORESUR!$L$2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CORESUR!$L$3</c:f>
              <c:numCache>
                <c:formatCode>_-* #,##0\ "€"_-;\-* #,##0\ "€"_-;_-* "-"??\ "€"_-;_-@_-</c:formatCode>
                <c:ptCount val="1"/>
                <c:pt idx="0">
                  <c:v>-23412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1-4697-8836-C32AB6AE8E45}"/>
            </c:ext>
          </c:extLst>
        </c:ser>
        <c:ser>
          <c:idx val="2"/>
          <c:order val="2"/>
          <c:tx>
            <c:strRef>
              <c:f>CORESUR!$M$2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CORESUR!$M$3</c:f>
              <c:numCache>
                <c:formatCode>_-* #,##0\ "€"_-;\-* #,##0\ "€"_-;_-* "-"??\ "€"_-;_-@_-</c:formatCode>
                <c:ptCount val="1"/>
                <c:pt idx="0">
                  <c:v>-344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1-4697-8836-C32AB6AE8E45}"/>
            </c:ext>
          </c:extLst>
        </c:ser>
        <c:ser>
          <c:idx val="3"/>
          <c:order val="3"/>
          <c:tx>
            <c:strRef>
              <c:f>CORESUR!$N$2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CORESUR!$N$3</c:f>
              <c:numCache>
                <c:formatCode>_-* #,##0\ "€"_-;\-* #,##0\ "€"_-;_-* "-"??\ "€"_-;_-@_-</c:formatCode>
                <c:ptCount val="1"/>
                <c:pt idx="0">
                  <c:v>-8281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B1-4697-8836-C32AB6AE8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5445039"/>
        <c:axId val="14154421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CORESUR!$K$2</c15:sqref>
                        </c15:formulaRef>
                      </c:ext>
                    </c:extLst>
                    <c:strCache>
                      <c:ptCount val="1"/>
                      <c:pt idx="0">
                        <c:v>NUMÉRICO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CORESUR!$K$3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5B1-4697-8836-C32AB6AE8E45}"/>
                  </c:ext>
                </c:extLst>
              </c15:ser>
            </c15:filteredBarSeries>
          </c:ext>
        </c:extLst>
      </c:barChart>
      <c:catAx>
        <c:axId val="1415445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5442159"/>
        <c:crosses val="autoZero"/>
        <c:auto val="1"/>
        <c:lblAlgn val="ctr"/>
        <c:lblOffset val="100"/>
        <c:noMultiLvlLbl val="0"/>
      </c:catAx>
      <c:valAx>
        <c:axId val="14154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54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DM!$B$2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DM!$A$3:$A$14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DM!$B$3:$B$14</c:f>
              <c:numCache>
                <c:formatCode>_-* #,##0\ "€"_-;\-* #,##0\ "€"_-;_-* "-"??\ "€"_-;_-@_-</c:formatCode>
                <c:ptCount val="12"/>
                <c:pt idx="0">
                  <c:v>8356</c:v>
                </c:pt>
                <c:pt idx="1">
                  <c:v>-19356</c:v>
                </c:pt>
                <c:pt idx="2">
                  <c:v>-22136</c:v>
                </c:pt>
                <c:pt idx="3">
                  <c:v>-9009</c:v>
                </c:pt>
                <c:pt idx="4">
                  <c:v>-7736</c:v>
                </c:pt>
                <c:pt idx="5">
                  <c:v>-2251</c:v>
                </c:pt>
                <c:pt idx="6">
                  <c:v>-12571</c:v>
                </c:pt>
                <c:pt idx="7">
                  <c:v>4147</c:v>
                </c:pt>
                <c:pt idx="8">
                  <c:v>7364</c:v>
                </c:pt>
                <c:pt idx="9">
                  <c:v>-1397</c:v>
                </c:pt>
                <c:pt idx="10">
                  <c:v>-538</c:v>
                </c:pt>
                <c:pt idx="11">
                  <c:v>4578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D-4D34-ACB9-D1A17A32667E}"/>
            </c:ext>
          </c:extLst>
        </c:ser>
        <c:ser>
          <c:idx val="1"/>
          <c:order val="1"/>
          <c:tx>
            <c:strRef>
              <c:f>DM!$C$2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DM!$A$3:$A$14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DM!$C$3:$C$14</c:f>
              <c:numCache>
                <c:formatCode>_-* #,##0\ "€"_-;\-* #,##0\ "€"_-;_-* "-"??\ "€"_-;_-@_-</c:formatCode>
                <c:ptCount val="12"/>
                <c:pt idx="0">
                  <c:v>-7786</c:v>
                </c:pt>
                <c:pt idx="1">
                  <c:v>-9105</c:v>
                </c:pt>
                <c:pt idx="2">
                  <c:v>2749</c:v>
                </c:pt>
                <c:pt idx="3">
                  <c:v>13844</c:v>
                </c:pt>
                <c:pt idx="4">
                  <c:v>-5881</c:v>
                </c:pt>
                <c:pt idx="5">
                  <c:v>1000</c:v>
                </c:pt>
                <c:pt idx="6">
                  <c:v>1813</c:v>
                </c:pt>
                <c:pt idx="7">
                  <c:v>10029</c:v>
                </c:pt>
                <c:pt idx="8">
                  <c:v>-4145</c:v>
                </c:pt>
                <c:pt idx="9">
                  <c:v>-2133</c:v>
                </c:pt>
                <c:pt idx="10">
                  <c:v>12091</c:v>
                </c:pt>
                <c:pt idx="11">
                  <c:v>-11560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D-4D34-ACB9-D1A17A32667E}"/>
            </c:ext>
          </c:extLst>
        </c:ser>
        <c:ser>
          <c:idx val="2"/>
          <c:order val="2"/>
          <c:tx>
            <c:strRef>
              <c:f>DM!$D$2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DM!$A$3:$A$14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DM!$D$3:$D$14</c:f>
              <c:numCache>
                <c:formatCode>_-* #,##0\ "€"_-;\-* #,##0\ "€"_-;_-* "-"??\ "€"_-;_-@_-</c:formatCode>
                <c:ptCount val="12"/>
                <c:pt idx="0">
                  <c:v>5193</c:v>
                </c:pt>
                <c:pt idx="1">
                  <c:v>-1980</c:v>
                </c:pt>
                <c:pt idx="2">
                  <c:v>1127</c:v>
                </c:pt>
                <c:pt idx="3">
                  <c:v>-14448</c:v>
                </c:pt>
                <c:pt idx="4">
                  <c:v>-9266</c:v>
                </c:pt>
                <c:pt idx="5">
                  <c:v>10469</c:v>
                </c:pt>
                <c:pt idx="6">
                  <c:v>6954</c:v>
                </c:pt>
                <c:pt idx="7">
                  <c:v>-13443</c:v>
                </c:pt>
                <c:pt idx="8">
                  <c:v>4552</c:v>
                </c:pt>
                <c:pt idx="9">
                  <c:v>11881</c:v>
                </c:pt>
                <c:pt idx="10">
                  <c:v>-14643</c:v>
                </c:pt>
                <c:pt idx="11">
                  <c:v>-1234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D-4D34-ACB9-D1A17A326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5436399"/>
        <c:axId val="1415446959"/>
      </c:barChart>
      <c:catAx>
        <c:axId val="14154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5446959"/>
        <c:crosses val="autoZero"/>
        <c:auto val="1"/>
        <c:lblAlgn val="ctr"/>
        <c:lblOffset val="100"/>
        <c:noMultiLvlLbl val="0"/>
      </c:catAx>
      <c:valAx>
        <c:axId val="14154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543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DM!$G$2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DM!$F$3:$F$6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DM!$G$3:$G$6</c:f>
              <c:numCache>
                <c:formatCode>_-* #,##0\ "€"_-;\-* #,##0\ "€"_-;_-* "-"??\ "€"_-;_-@_-</c:formatCode>
                <c:ptCount val="4"/>
                <c:pt idx="0">
                  <c:v>-33136</c:v>
                </c:pt>
                <c:pt idx="1">
                  <c:v>-18996</c:v>
                </c:pt>
                <c:pt idx="2">
                  <c:v>-1060</c:v>
                </c:pt>
                <c:pt idx="3">
                  <c:v>2643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6-4622-8335-C8B75EE92B93}"/>
            </c:ext>
          </c:extLst>
        </c:ser>
        <c:ser>
          <c:idx val="1"/>
          <c:order val="1"/>
          <c:tx>
            <c:strRef>
              <c:f>DM!$H$2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DM!$F$3:$F$6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DM!$H$3:$H$6</c:f>
              <c:numCache>
                <c:formatCode>_-* #,##0\ "€"_-;\-* #,##0\ "€"_-;_-* "-"??\ "€"_-;_-@_-</c:formatCode>
                <c:ptCount val="4"/>
                <c:pt idx="0">
                  <c:v>-14142</c:v>
                </c:pt>
                <c:pt idx="1">
                  <c:v>8963</c:v>
                </c:pt>
                <c:pt idx="2">
                  <c:v>7697</c:v>
                </c:pt>
                <c:pt idx="3">
                  <c:v>-1602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6-4622-8335-C8B75EE92B93}"/>
            </c:ext>
          </c:extLst>
        </c:ser>
        <c:ser>
          <c:idx val="2"/>
          <c:order val="2"/>
          <c:tx>
            <c:strRef>
              <c:f>DM!$I$2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DM!$F$3:$F$6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DM!$I$3:$I$6</c:f>
              <c:numCache>
                <c:formatCode>_-* #,##0\ "€"_-;\-* #,##0\ "€"_-;_-* "-"??\ "€"_-;_-@_-</c:formatCode>
                <c:ptCount val="4"/>
                <c:pt idx="0">
                  <c:v>4340</c:v>
                </c:pt>
                <c:pt idx="1">
                  <c:v>-13245</c:v>
                </c:pt>
                <c:pt idx="2">
                  <c:v>-1937</c:v>
                </c:pt>
                <c:pt idx="3">
                  <c:v>-3996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6-4622-8335-C8B75EE92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0768015"/>
        <c:axId val="1420772815"/>
      </c:barChart>
      <c:catAx>
        <c:axId val="14207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0772815"/>
        <c:crosses val="autoZero"/>
        <c:auto val="1"/>
        <c:lblAlgn val="ctr"/>
        <c:lblOffset val="100"/>
        <c:noMultiLvlLbl val="0"/>
      </c:catAx>
      <c:valAx>
        <c:axId val="14207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07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DM!$K$2</c:f>
              <c:strCache>
                <c:ptCount val="1"/>
                <c:pt idx="0">
                  <c:v>NUMÉRICO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DM!$K$3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D67-46D5-80A9-441A5A743C71}"/>
            </c:ext>
          </c:extLst>
        </c:ser>
        <c:ser>
          <c:idx val="1"/>
          <c:order val="1"/>
          <c:tx>
            <c:strRef>
              <c:f>DM!$L$2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DM!$L$3</c:f>
              <c:numCache>
                <c:formatCode>_-* #,##0\ "€"_-;\-* #,##0\ "€"_-;_-* "-"??\ "€"_-;_-@_-</c:formatCode>
                <c:ptCount val="1"/>
                <c:pt idx="0">
                  <c:v>-50549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7-46D5-80A9-441A5A743C71}"/>
            </c:ext>
          </c:extLst>
        </c:ser>
        <c:ser>
          <c:idx val="2"/>
          <c:order val="2"/>
          <c:tx>
            <c:strRef>
              <c:f>DM!$M$2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DM!$M$3</c:f>
              <c:numCache>
                <c:formatCode>_-* #,##0\ "€"_-;\-* #,##0\ "€"_-;_-* "-"??\ "€"_-;_-@_-</c:formatCode>
                <c:ptCount val="1"/>
                <c:pt idx="0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7-46D5-80A9-441A5A743C71}"/>
            </c:ext>
          </c:extLst>
        </c:ser>
        <c:ser>
          <c:idx val="3"/>
          <c:order val="3"/>
          <c:tx>
            <c:strRef>
              <c:f>DM!$N$2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DM!$N$3</c:f>
              <c:numCache>
                <c:formatCode>_-* #,##0\ "€"_-;\-* #,##0\ "€"_-;_-* "-"??\ "€"_-;_-@_-</c:formatCode>
                <c:ptCount val="1"/>
                <c:pt idx="0">
                  <c:v>-14838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7-46D5-80A9-441A5A743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1937039"/>
        <c:axId val="1441937519"/>
      </c:barChart>
      <c:catAx>
        <c:axId val="144193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937519"/>
        <c:crosses val="autoZero"/>
        <c:auto val="1"/>
        <c:lblAlgn val="ctr"/>
        <c:lblOffset val="100"/>
        <c:noMultiLvlLbl val="0"/>
      </c:catAx>
      <c:valAx>
        <c:axId val="144193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193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ONDIVELA!$C$2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ONDIVELA!$A$3:$A$14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ONDIVELA!$C$3:$C$14</c:f>
              <c:numCache>
                <c:formatCode>_-* #,##0\ "€"_-;\-* #,##0\ "€"_-;_-* "-"??\ "€"_-;_-@_-</c:formatCode>
                <c:ptCount val="12"/>
                <c:pt idx="0">
                  <c:v>0</c:v>
                </c:pt>
                <c:pt idx="1">
                  <c:v>6424</c:v>
                </c:pt>
                <c:pt idx="2">
                  <c:v>0</c:v>
                </c:pt>
                <c:pt idx="3">
                  <c:v>249</c:v>
                </c:pt>
                <c:pt idx="4">
                  <c:v>1073</c:v>
                </c:pt>
                <c:pt idx="5">
                  <c:v>0</c:v>
                </c:pt>
                <c:pt idx="6">
                  <c:v>0</c:v>
                </c:pt>
                <c:pt idx="7">
                  <c:v>661</c:v>
                </c:pt>
                <c:pt idx="8">
                  <c:v>3419</c:v>
                </c:pt>
                <c:pt idx="9">
                  <c:v>0</c:v>
                </c:pt>
                <c:pt idx="10">
                  <c:v>4140</c:v>
                </c:pt>
                <c:pt idx="11">
                  <c:v>2869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D-48B3-BEFE-2079775DEC44}"/>
            </c:ext>
          </c:extLst>
        </c:ser>
        <c:ser>
          <c:idx val="2"/>
          <c:order val="2"/>
          <c:tx>
            <c:strRef>
              <c:f>ONDIVELA!$D$2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ONDIVELA!$A$3:$A$14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ONDIVELA!$D$3:$D$14</c:f>
              <c:numCache>
                <c:formatCode>_-* #,##0\ "€"_-;\-* #,##0\ "€"_-;_-* "-"??\ "€"_-;_-@_-</c:formatCode>
                <c:ptCount val="12"/>
                <c:pt idx="0">
                  <c:v>356</c:v>
                </c:pt>
                <c:pt idx="1">
                  <c:v>-6424</c:v>
                </c:pt>
                <c:pt idx="2">
                  <c:v>0</c:v>
                </c:pt>
                <c:pt idx="3">
                  <c:v>-249</c:v>
                </c:pt>
                <c:pt idx="4">
                  <c:v>3099</c:v>
                </c:pt>
                <c:pt idx="5">
                  <c:v>0</c:v>
                </c:pt>
                <c:pt idx="6">
                  <c:v>0</c:v>
                </c:pt>
                <c:pt idx="7">
                  <c:v>-661</c:v>
                </c:pt>
                <c:pt idx="8">
                  <c:v>-723</c:v>
                </c:pt>
                <c:pt idx="9">
                  <c:v>771</c:v>
                </c:pt>
                <c:pt idx="10">
                  <c:v>-3791</c:v>
                </c:pt>
                <c:pt idx="11">
                  <c:v>-2028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D-48B3-BEFE-2079775D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402351"/>
        <c:axId val="164140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ONDIVELA!$B$2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ONDIVELA!$A$3:$A$14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ONDIVELA!$B$3:$B$14</c15:sqref>
                        </c15:formulaRef>
                      </c:ext>
                    </c:extLst>
                    <c:numCache>
                      <c:formatCode>_-* #,##0\ "€"_-;\-* #,##0\ "€"_-;_-* "-"??\ "€"_-;_-@_-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58D-48B3-BEFE-2079775DEC44}"/>
                  </c:ext>
                </c:extLst>
              </c15:ser>
            </c15:filteredLineSeries>
          </c:ext>
        </c:extLst>
      </c:lineChart>
      <c:catAx>
        <c:axId val="164140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1408591"/>
        <c:crosses val="autoZero"/>
        <c:auto val="1"/>
        <c:lblAlgn val="ctr"/>
        <c:lblOffset val="100"/>
        <c:noMultiLvlLbl val="0"/>
      </c:catAx>
      <c:valAx>
        <c:axId val="16414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140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ONDIVELA!$H$2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ONDIVELA!$F$3:$F$6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ONDIVELA!$H$3:$H$6</c:f>
              <c:numCache>
                <c:formatCode>_-* #,##0\ "€"_-;\-* #,##0\ "€"_-;_-* "-"??\ "€"_-;_-@_-</c:formatCode>
                <c:ptCount val="4"/>
                <c:pt idx="0">
                  <c:v>6424</c:v>
                </c:pt>
                <c:pt idx="1">
                  <c:v>1322</c:v>
                </c:pt>
                <c:pt idx="2">
                  <c:v>4080</c:v>
                </c:pt>
                <c:pt idx="3">
                  <c:v>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A-4271-9267-95ED4141772D}"/>
            </c:ext>
          </c:extLst>
        </c:ser>
        <c:ser>
          <c:idx val="2"/>
          <c:order val="2"/>
          <c:tx>
            <c:strRef>
              <c:f>ONDIVELA!$I$2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ONDIVELA!$F$3:$F$6</c:f>
              <c:strCache>
                <c:ptCount val="4"/>
                <c:pt idx="0">
                  <c:v>1ER TRIMESTRE</c:v>
                </c:pt>
                <c:pt idx="1">
                  <c:v>2DO TRIMESTRE</c:v>
                </c:pt>
                <c:pt idx="2">
                  <c:v>3ER TRIMESTRE</c:v>
                </c:pt>
                <c:pt idx="3">
                  <c:v>4TO TRIMESTRE</c:v>
                </c:pt>
              </c:strCache>
            </c:strRef>
          </c:cat>
          <c:val>
            <c:numRef>
              <c:f>ONDIVELA!$I$3:$I$6</c:f>
              <c:numCache>
                <c:formatCode>_-* #,##0\ "€"_-;\-* #,##0\ "€"_-;_-* "-"??\ "€"_-;_-@_-</c:formatCode>
                <c:ptCount val="4"/>
                <c:pt idx="0">
                  <c:v>-6068</c:v>
                </c:pt>
                <c:pt idx="1">
                  <c:v>2850</c:v>
                </c:pt>
                <c:pt idx="2">
                  <c:v>-1384</c:v>
                </c:pt>
                <c:pt idx="3">
                  <c:v>-5048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A-4271-9267-95ED4141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1397071"/>
        <c:axId val="16413961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ONDIVELA!$G$2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ONDIVELA!$F$3:$F$6</c15:sqref>
                        </c15:formulaRef>
                      </c:ext>
                    </c:extLst>
                    <c:strCache>
                      <c:ptCount val="4"/>
                      <c:pt idx="0">
                        <c:v>1ER TRIMESTRE</c:v>
                      </c:pt>
                      <c:pt idx="1">
                        <c:v>2DO TRIMESTRE</c:v>
                      </c:pt>
                      <c:pt idx="2">
                        <c:v>3ER TRIMESTRE</c:v>
                      </c:pt>
                      <c:pt idx="3">
                        <c:v>4TO TRIMESTRE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ONDIVELA!$G$3:$G$6</c15:sqref>
                        </c15:formulaRef>
                      </c:ext>
                    </c:extLst>
                    <c:numCache>
                      <c:formatCode>_-* #,##0\ "€"_-;\-* #,##0\ "€"_-;_-* "-"??\ "€"_-;_-@_-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16A-4271-9267-95ED4141772D}"/>
                  </c:ext>
                </c:extLst>
              </c15:ser>
            </c15:filteredBarSeries>
          </c:ext>
        </c:extLst>
      </c:barChart>
      <c:catAx>
        <c:axId val="164139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1396111"/>
        <c:crosses val="autoZero"/>
        <c:auto val="1"/>
        <c:lblAlgn val="ctr"/>
        <c:lblOffset val="100"/>
        <c:noMultiLvlLbl val="0"/>
      </c:catAx>
      <c:valAx>
        <c:axId val="164139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139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ONDIVELA!$M$2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ONDIVELA!$M$3</c:f>
              <c:numCache>
                <c:formatCode>_-* #,##0\ "€"_-;\-* #,##0\ "€"_-;_-* "-"??\ "€"_-;_-@_-</c:formatCode>
                <c:ptCount val="1"/>
                <c:pt idx="0">
                  <c:v>18835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B-4FBA-B566-FBB9A1ED071D}"/>
            </c:ext>
          </c:extLst>
        </c:ser>
        <c:ser>
          <c:idx val="3"/>
          <c:order val="3"/>
          <c:tx>
            <c:strRef>
              <c:f>ONDIVELA!$N$2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ONDIVELA!$N$3</c:f>
              <c:numCache>
                <c:formatCode>_-* #,##0\ "€"_-;\-* #,##0\ "€"_-;_-* "-"??\ "€"_-;_-@_-</c:formatCode>
                <c:ptCount val="1"/>
                <c:pt idx="0">
                  <c:v>-9650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AB-4FBA-B566-FBB9A1ED0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20770895"/>
        <c:axId val="1420771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ONDIVELA!$K$2</c15:sqref>
                        </c15:formulaRef>
                      </c:ext>
                    </c:extLst>
                    <c:strCache>
                      <c:ptCount val="1"/>
                      <c:pt idx="0">
                        <c:v>NUMÉRICO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ONDIVELA!$K$3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AB-4FBA-B566-FBB9A1ED071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ONDIVELA!$L$2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ONDIVELA!$L$3</c15:sqref>
                        </c15:formulaRef>
                      </c:ext>
                    </c:extLst>
                    <c:numCache>
                      <c:formatCode>_-* #,##0\ "€"_-;\-* #,##0\ "€"_-;_-* "-"??\ "€"_-;_-@_-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DAB-4FBA-B566-FBB9A1ED071D}"/>
                  </c:ext>
                </c:extLst>
              </c15:ser>
            </c15:filteredBarSeries>
          </c:ext>
        </c:extLst>
      </c:barChart>
      <c:catAx>
        <c:axId val="1420770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0771375"/>
        <c:crosses val="autoZero"/>
        <c:auto val="1"/>
        <c:lblAlgn val="ctr"/>
        <c:lblOffset val="100"/>
        <c:noMultiLvlLbl val="0"/>
      </c:catAx>
      <c:valAx>
        <c:axId val="142077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077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11906</xdr:colOff>
      <xdr:row>1</xdr:row>
      <xdr:rowOff>0</xdr:rowOff>
    </xdr:from>
    <xdr:to>
      <xdr:col>21</xdr:col>
      <xdr:colOff>928688</xdr:colOff>
      <xdr:row>16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537CD0-A740-D4D6-CB2B-AD1D3AB30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11905</xdr:colOff>
      <xdr:row>17</xdr:row>
      <xdr:rowOff>11905</xdr:rowOff>
    </xdr:from>
    <xdr:to>
      <xdr:col>21</xdr:col>
      <xdr:colOff>940593</xdr:colOff>
      <xdr:row>33</xdr:row>
      <xdr:rowOff>59531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E4C5AEC-B82C-91DD-944E-3623C0EB3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11906</xdr:colOff>
      <xdr:row>33</xdr:row>
      <xdr:rowOff>59531</xdr:rowOff>
    </xdr:from>
    <xdr:to>
      <xdr:col>21</xdr:col>
      <xdr:colOff>940594</xdr:colOff>
      <xdr:row>51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C0F09AA8-EF38-1A0D-1633-903ABE04E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51</xdr:row>
      <xdr:rowOff>23811</xdr:rowOff>
    </xdr:from>
    <xdr:to>
      <xdr:col>21</xdr:col>
      <xdr:colOff>976312</xdr:colOff>
      <xdr:row>70</xdr:row>
      <xdr:rowOff>59530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A521D852-14BB-89CF-8FF1-981FA4416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</xdr:colOff>
      <xdr:row>2</xdr:row>
      <xdr:rowOff>11907</xdr:rowOff>
    </xdr:from>
    <xdr:to>
      <xdr:col>16</xdr:col>
      <xdr:colOff>11906</xdr:colOff>
      <xdr:row>17</xdr:row>
      <xdr:rowOff>178594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35609A-09CB-DB20-983C-0E14AD64F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738188</xdr:colOff>
      <xdr:row>18</xdr:row>
      <xdr:rowOff>0</xdr:rowOff>
    </xdr:from>
    <xdr:to>
      <xdr:col>16</xdr:col>
      <xdr:colOff>11907</xdr:colOff>
      <xdr:row>34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BE7C4F-B6B5-5E63-913E-61A7B18FA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595312</xdr:colOff>
      <xdr:row>2</xdr:row>
      <xdr:rowOff>0</xdr:rowOff>
    </xdr:from>
    <xdr:to>
      <xdr:col>23</xdr:col>
      <xdr:colOff>750092</xdr:colOff>
      <xdr:row>17</xdr:row>
      <xdr:rowOff>178593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8486A5-8827-8FEF-D0BC-3C9011B03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18</xdr:row>
      <xdr:rowOff>11906</xdr:rowOff>
    </xdr:from>
    <xdr:to>
      <xdr:col>24</xdr:col>
      <xdr:colOff>11906</xdr:colOff>
      <xdr:row>35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05C4040-E550-1703-8BDB-E0B853671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9526</xdr:colOff>
      <xdr:row>2</xdr:row>
      <xdr:rowOff>9525</xdr:rowOff>
    </xdr:from>
    <xdr:to>
      <xdr:col>12</xdr:col>
      <xdr:colOff>0</xdr:colOff>
      <xdr:row>13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21A933-5DB2-4768-D60F-94196FA4A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190499</xdr:rowOff>
    </xdr:from>
    <xdr:to>
      <xdr:col>17</xdr:col>
      <xdr:colOff>47625</xdr:colOff>
      <xdr:row>13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E80A7A-0B61-88EB-B137-6BAB176BF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13</xdr:row>
      <xdr:rowOff>14287</xdr:rowOff>
    </xdr:from>
    <xdr:to>
      <xdr:col>11</xdr:col>
      <xdr:colOff>752475</xdr:colOff>
      <xdr:row>25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E87C92-5511-1DAE-D332-FE8D71DF4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13</xdr:row>
      <xdr:rowOff>23812</xdr:rowOff>
    </xdr:from>
    <xdr:to>
      <xdr:col>17</xdr:col>
      <xdr:colOff>57150</xdr:colOff>
      <xdr:row>25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D351A0-D2B0-74D3-11FE-F0545DF2B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57150</xdr:colOff>
      <xdr:row>2</xdr:row>
      <xdr:rowOff>4762</xdr:rowOff>
    </xdr:from>
    <xdr:to>
      <xdr:col>22</xdr:col>
      <xdr:colOff>28575</xdr:colOff>
      <xdr:row>13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9C40953-CF5B-DED9-9CCA-BADC2D663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</xdr:colOff>
      <xdr:row>13</xdr:row>
      <xdr:rowOff>33337</xdr:rowOff>
    </xdr:from>
    <xdr:to>
      <xdr:col>22</xdr:col>
      <xdr:colOff>38100</xdr:colOff>
      <xdr:row>25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6BB76BF-5625-E60B-C516-BE1D376D2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28575</xdr:colOff>
      <xdr:row>2</xdr:row>
      <xdr:rowOff>4762</xdr:rowOff>
    </xdr:from>
    <xdr:to>
      <xdr:col>27</xdr:col>
      <xdr:colOff>0</xdr:colOff>
      <xdr:row>13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6C1ED0E-F7E9-983D-7EC5-9DEF2C97D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9524</xdr:colOff>
      <xdr:row>13</xdr:row>
      <xdr:rowOff>19050</xdr:rowOff>
    </xdr:from>
    <xdr:to>
      <xdr:col>26</xdr:col>
      <xdr:colOff>761999</xdr:colOff>
      <xdr:row>24</xdr:row>
      <xdr:rowOff>180975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88E57E7-1E00-4EDF-C5FA-15B7CE06E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85726</xdr:rowOff>
    </xdr:from>
    <xdr:to>
      <xdr:col>13</xdr:col>
      <xdr:colOff>76200</xdr:colOff>
      <xdr:row>24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664F43-AD4A-4427-B318-A13BC453D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</xdr:colOff>
      <xdr:row>0</xdr:row>
      <xdr:rowOff>180974</xdr:rowOff>
    </xdr:from>
    <xdr:to>
      <xdr:col>21</xdr:col>
      <xdr:colOff>752475</xdr:colOff>
      <xdr:row>21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C4BC18-D278-F2EC-4DD5-1A1B2B64F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9524</xdr:colOff>
      <xdr:row>23</xdr:row>
      <xdr:rowOff>14287</xdr:rowOff>
    </xdr:from>
    <xdr:to>
      <xdr:col>21</xdr:col>
      <xdr:colOff>761999</xdr:colOff>
      <xdr:row>44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B3A6FF-C407-9805-9550-E8341A29A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1</xdr:row>
      <xdr:rowOff>4762</xdr:rowOff>
    </xdr:from>
    <xdr:to>
      <xdr:col>29</xdr:col>
      <xdr:colOff>0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4D220E-D7EF-DFCE-30DF-DF014CBEF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</xdr:row>
      <xdr:rowOff>4762</xdr:rowOff>
    </xdr:from>
    <xdr:to>
      <xdr:col>21</xdr:col>
      <xdr:colOff>9525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C1B2C7-C806-9755-01E5-CEE352727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15</xdr:row>
      <xdr:rowOff>100012</xdr:rowOff>
    </xdr:from>
    <xdr:to>
      <xdr:col>21</xdr:col>
      <xdr:colOff>9525</xdr:colOff>
      <xdr:row>29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C364BA-9246-9CC3-082D-AC9330E6A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1</xdr:row>
      <xdr:rowOff>4762</xdr:rowOff>
    </xdr:from>
    <xdr:to>
      <xdr:col>28</xdr:col>
      <xdr:colOff>9525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661183-D390-32D2-C4C7-D119D2452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185737</xdr:rowOff>
    </xdr:from>
    <xdr:to>
      <xdr:col>21</xdr:col>
      <xdr:colOff>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5EE571-C093-C50B-947C-336D58AB6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16</xdr:row>
      <xdr:rowOff>14287</xdr:rowOff>
    </xdr:from>
    <xdr:to>
      <xdr:col>21</xdr:col>
      <xdr:colOff>9525</xdr:colOff>
      <xdr:row>30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E11AEE-AB6D-731A-1287-93D7FDCBF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0</xdr:row>
      <xdr:rowOff>176212</xdr:rowOff>
    </xdr:from>
    <xdr:to>
      <xdr:col>28</xdr:col>
      <xdr:colOff>0</xdr:colOff>
      <xdr:row>15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045F49-241C-E708-DB63-62AA23DA6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4762</xdr:rowOff>
    </xdr:from>
    <xdr:to>
      <xdr:col>21</xdr:col>
      <xdr:colOff>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CD94A8-E17E-ED1E-E361-09ED8123B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16</xdr:row>
      <xdr:rowOff>14287</xdr:rowOff>
    </xdr:from>
    <xdr:to>
      <xdr:col>21</xdr:col>
      <xdr:colOff>0</xdr:colOff>
      <xdr:row>30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A1509B-5277-86E2-6C22-509DF3631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0</xdr:row>
      <xdr:rowOff>185737</xdr:rowOff>
    </xdr:from>
    <xdr:to>
      <xdr:col>28</xdr:col>
      <xdr:colOff>9525</xdr:colOff>
      <xdr:row>15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F233C6-0862-3286-5CE1-11AB9BE31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14287</xdr:rowOff>
    </xdr:from>
    <xdr:to>
      <xdr:col>21</xdr:col>
      <xdr:colOff>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D50EA6-664C-ACE2-0B6C-F6BD72072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752475</xdr:colOff>
      <xdr:row>16</xdr:row>
      <xdr:rowOff>14287</xdr:rowOff>
    </xdr:from>
    <xdr:to>
      <xdr:col>20</xdr:col>
      <xdr:colOff>752475</xdr:colOff>
      <xdr:row>30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A2DD34-3FA3-4C5E-DFF4-8F6AB2BD3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752475</xdr:colOff>
      <xdr:row>0</xdr:row>
      <xdr:rowOff>185737</xdr:rowOff>
    </xdr:from>
    <xdr:to>
      <xdr:col>27</xdr:col>
      <xdr:colOff>752475</xdr:colOff>
      <xdr:row>15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3D02EE-4284-B177-34DA-5B5CC620C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0</xdr:row>
      <xdr:rowOff>185737</xdr:rowOff>
    </xdr:from>
    <xdr:to>
      <xdr:col>21</xdr:col>
      <xdr:colOff>9525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F1FE28-00D4-B13A-91AD-F522BA51B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16</xdr:row>
      <xdr:rowOff>4762</xdr:rowOff>
    </xdr:from>
    <xdr:to>
      <xdr:col>21</xdr:col>
      <xdr:colOff>0</xdr:colOff>
      <xdr:row>30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72A083-CCCA-AF7D-3050-BA3ADDA90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1</xdr:row>
      <xdr:rowOff>4762</xdr:rowOff>
    </xdr:from>
    <xdr:to>
      <xdr:col>28</xdr:col>
      <xdr:colOff>9525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2D4F0C-4074-5FA3-BA2C-1412A1F3B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</xdr:row>
      <xdr:rowOff>4762</xdr:rowOff>
    </xdr:from>
    <xdr:to>
      <xdr:col>21</xdr:col>
      <xdr:colOff>9525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ADED8E-60C0-605E-6B27-6AA6222CA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16</xdr:row>
      <xdr:rowOff>4762</xdr:rowOff>
    </xdr:from>
    <xdr:to>
      <xdr:col>21</xdr:col>
      <xdr:colOff>9525</xdr:colOff>
      <xdr:row>30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42AF7C-32B8-E32E-722B-837089D93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1</xdr:row>
      <xdr:rowOff>4762</xdr:rowOff>
    </xdr:from>
    <xdr:to>
      <xdr:col>28</xdr:col>
      <xdr:colOff>9525</xdr:colOff>
      <xdr:row>15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4CCAC9-86E8-377A-18DE-CB1D515EC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752475</xdr:colOff>
      <xdr:row>0</xdr:row>
      <xdr:rowOff>185737</xdr:rowOff>
    </xdr:from>
    <xdr:to>
      <xdr:col>20</xdr:col>
      <xdr:colOff>752475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9B3410-5263-7E5C-23DB-72FA44B48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752475</xdr:colOff>
      <xdr:row>16</xdr:row>
      <xdr:rowOff>14287</xdr:rowOff>
    </xdr:from>
    <xdr:to>
      <xdr:col>20</xdr:col>
      <xdr:colOff>752475</xdr:colOff>
      <xdr:row>30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AF13C6-A3A4-BC47-AA88-3297F39AE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1</xdr:row>
      <xdr:rowOff>14287</xdr:rowOff>
    </xdr:from>
    <xdr:to>
      <xdr:col>28</xdr:col>
      <xdr:colOff>0</xdr:colOff>
      <xdr:row>15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8D3593-BD4E-2D6A-3F5D-604A66EE8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B17C0-E660-4336-8A30-A3086958D01E}" name="Tabla6" displayName="Tabla6" ref="A1:N45" totalsRowCount="1">
  <autoFilter ref="A1:N44" xr:uid="{7F0B17C0-E660-4336-8A30-A3086958D01E}"/>
  <tableColumns count="14">
    <tableColumn id="1" xr3:uid="{D7F49553-9763-4779-AE41-3FBE14A539D6}" name="2022"/>
    <tableColumn id="2" xr3:uid="{D27B13C3-561A-47C4-8ECE-6366B3FF76B8}" name="ENERO" dataDxfId="366" totalsRowDxfId="365"/>
    <tableColumn id="3" xr3:uid="{C610A97E-5F1E-4830-87A2-EEB393C3AA3A}" name="FEBRERO" dataDxfId="364" totalsRowDxfId="363"/>
    <tableColumn id="4" xr3:uid="{67794BD3-EE15-4ECB-81BF-35CE22D8D294}" name="MARZO" dataDxfId="362" totalsRowDxfId="361"/>
    <tableColumn id="5" xr3:uid="{84EA37A0-F04D-43BE-A786-62529FABA43A}" name="ABRIL" dataDxfId="360" totalsRowDxfId="359"/>
    <tableColumn id="6" xr3:uid="{21BA96F1-458E-40A2-96D9-3D1DA782B9E1}" name="MAYO" dataDxfId="358" totalsRowDxfId="357"/>
    <tableColumn id="7" xr3:uid="{0C455A86-39BB-4C6F-BC16-BCE47568B99C}" name="JUNIO" dataDxfId="356" totalsRowDxfId="355"/>
    <tableColumn id="8" xr3:uid="{43046A47-5421-4F7E-8175-91E4C2FF244A}" name="JULIO" dataDxfId="354" totalsRowDxfId="353" dataCellStyle="Moneda"/>
    <tableColumn id="9" xr3:uid="{D06A24EC-8865-4305-A51A-7B2EEDA04B21}" name="AGOSTO" dataDxfId="352" totalsRowDxfId="351" dataCellStyle="Moneda"/>
    <tableColumn id="10" xr3:uid="{F05D9802-1DC4-45F6-8CF8-DC616567A004}" name="SEPTIEMBRE" dataDxfId="350" totalsRowDxfId="349" dataCellStyle="Moneda"/>
    <tableColumn id="11" xr3:uid="{E395A77F-7C62-4D67-8D11-B2A85FD481C1}" name="OCTUBRE" dataDxfId="348" totalsRowDxfId="347" dataCellStyle="Moneda"/>
    <tableColumn id="12" xr3:uid="{FADF451C-9A33-4209-A2A7-B18BF83BA12A}" name="NOVIEMBRE" dataDxfId="346" totalsRowDxfId="345" dataCellStyle="Moneda"/>
    <tableColumn id="13" xr3:uid="{5CBA902B-F172-4042-AE4A-B19AC4D78798}" name="DICIEMBRE" dataDxfId="344" totalsRowDxfId="343" dataCellStyle="Moneda"/>
    <tableColumn id="14" xr3:uid="{39ACA36F-297F-4CD7-99B0-605046C31470}" name="DICIEMBRE2" dataDxfId="342" dataCellStyle="Moneda">
      <calculatedColumnFormula>+SUM(B2:M2)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3FD14-6581-4CFA-B678-7B69C08E8A04}" name="Tabla2" displayName="Tabla2" ref="A1:E42" totalsRowShown="0">
  <autoFilter ref="A1:E42" xr:uid="{DE03FD14-6581-4CFA-B678-7B69C08E8A04}"/>
  <tableColumns count="5">
    <tableColumn id="1" xr3:uid="{08C0659F-2669-4769-8213-347ED5D0E087}" name="2022"/>
    <tableColumn id="2" xr3:uid="{E0159BEB-7462-40DF-BB3B-5726DD3E71F8}" name="1ER TRIMESTRE"/>
    <tableColumn id="3" xr3:uid="{60387D57-35A3-4C73-B23A-3E4BC873CBBB}" name="2DO TRIMESTRE"/>
    <tableColumn id="4" xr3:uid="{0BD81AE0-B6E2-4569-BA50-9C35E8934355}" name="3ER TRIMESTRE"/>
    <tableColumn id="5" xr3:uid="{F9633D66-29F5-41A6-8164-36CAB4A5CB21}" name="4TO TRIMEST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C4F98-B733-4D24-9C83-90A0BDED116F}" name="Tabla1" displayName="Tabla1" ref="A2:F12" totalsRowCount="1" tableBorderDxfId="341">
  <autoFilter ref="A2:F11" xr:uid="{2C3C4F98-B733-4D24-9C83-90A0BDED116F}"/>
  <tableColumns count="6">
    <tableColumn id="1" xr3:uid="{3125FE87-B4B0-4A9C-BE53-97010B07487F}" name="COMERCIAL" dataDxfId="340" totalsRowDxfId="339"/>
    <tableColumn id="2" xr3:uid="{D3EEE5C5-DF42-4F9D-9A63-563E09F289ED}" name="2022" dataDxfId="338" totalsRowDxfId="337">
      <calculatedColumnFormula>SUM(Tabla6[[#This Row],[ENERO]:[DICIEMBRE]])</calculatedColumnFormula>
    </tableColumn>
    <tableColumn id="3" xr3:uid="{19D48714-3D55-4A35-93A8-B4C9DF57F445}" name="2023" dataDxfId="336" totalsRowDxfId="335" dataCellStyle="Moneda" totalsRowCellStyle="Moneda"/>
    <tableColumn id="4" xr3:uid="{05E7C094-180C-4304-AE46-00991AC67314}" name="2024" dataDxfId="334" totalsRowDxfId="333" dataCellStyle="Moneda" totalsRowCellStyle="Moneda"/>
    <tableColumn id="5" xr3:uid="{39CE7351-5829-468F-A32C-B447D17AED48}" name="2025" dataDxfId="332" totalsRowDxfId="331" dataCellStyle="Moneda" totalsRowCellStyle="Moneda"/>
    <tableColumn id="6" xr3:uid="{BB54C36E-F479-425D-9003-5A5FFE6B1BAA}" name="2026" totalsRowFunction="custom" dataDxfId="330" totalsRowDxfId="329" dataCellStyle="Moneda" totalsRowCellStyle="Moneda">
      <calculatedColumnFormula>+SUM('MENSUAL COMERCIALES'!B49:M49)</calculatedColumnFormula>
      <totalsRowFormula>+SUM(Tabla1[2026])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F4414B-3CEA-4B55-9222-746CF7EC1502}" name="Tabla8" displayName="Tabla8" ref="A2:D14" totalsRowShown="0" headerRowDxfId="328" headerRowBorderDxfId="327" tableBorderDxfId="326">
  <autoFilter ref="A2:D14" xr:uid="{BBF4414B-3CEA-4B55-9222-746CF7EC1502}"/>
  <tableColumns count="4">
    <tableColumn id="1" xr3:uid="{8F2A00CC-EC19-4BF1-9220-7244B3B919D3}" name="NUMÉRICO"/>
    <tableColumn id="2" xr3:uid="{598BB31F-EE02-4BFE-B72A-1324D8BF2D0E}" name="2023" dataDxfId="325">
      <calculatedColumnFormula>'MENSUAL COMERCIALES'!B13-'MENSUAL COMERCIALES'!B2</calculatedColumnFormula>
    </tableColumn>
    <tableColumn id="3" xr3:uid="{DC7FCDFD-4F6D-4B9B-B031-0093E87B246D}" name="2024" dataDxfId="324">
      <calculatedColumnFormula>'MENSUAL COMERCIALES'!B24-'MENSUAL COMERCIALES'!B13</calculatedColumnFormula>
    </tableColumn>
    <tableColumn id="4" xr3:uid="{C3F1EFFA-A4EE-43CB-9B9E-0FE9446CBBD2}" name="2025" dataDxfId="323">
      <calculatedColumnFormula>'MENSUAL COMERCIALES'!B35-'MENSUAL COMERCIALES'!B24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B2AA90-8898-4708-A2EC-3FE0C2B5E296}" name="Tabla810" displayName="Tabla810" ref="F2:I14" totalsRowShown="0" headerRowDxfId="322" headerRowBorderDxfId="321" tableBorderDxfId="320">
  <autoFilter ref="F2:I14" xr:uid="{6CB2AA90-8898-4708-A2EC-3FE0C2B5E296}"/>
  <tableColumns count="4">
    <tableColumn id="1" xr3:uid="{5D8D0320-645F-48F7-8681-031A6B18D9E1}" name="NUMÉRICO"/>
    <tableColumn id="2" xr3:uid="{25F523AD-9F67-4F91-88D8-56EEF03D300E}" name="2023" dataDxfId="319">
      <calculatedColumnFormula>'TRIMESTRAL COMERCIALES'!B13-'TRIMESTRAL COMERCIALES'!B2</calculatedColumnFormula>
    </tableColumn>
    <tableColumn id="3" xr3:uid="{7A542FAF-304C-44FB-85AB-C1DB9BB5132D}" name="2024" dataDxfId="318">
      <calculatedColumnFormula>'TRIMESTRAL COMERCIALES'!B24-'TRIMESTRAL COMERCIALES'!B13</calculatedColumnFormula>
    </tableColumn>
    <tableColumn id="4" xr3:uid="{BEC77708-A954-4587-AF18-06169E719727}" name="2025" dataDxfId="317">
      <calculatedColumnFormula>'TRIMESTRAL COMERCIALES'!B35-'TRIMESTRAL COMERCIALES'!B24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2DAFB7-0A61-4B39-9840-1F16420C1585}" name="Tabla811" displayName="Tabla811" ref="K2:N14" totalsRowShown="0" headerRowDxfId="316" headerRowBorderDxfId="315" tableBorderDxfId="314">
  <autoFilter ref="K2:N14" xr:uid="{D02DAFB7-0A61-4B39-9840-1F16420C1585}"/>
  <tableColumns count="4">
    <tableColumn id="1" xr3:uid="{42C226C2-029B-47AA-BB52-8AE574F4FABF}" name="NUMÉRICO"/>
    <tableColumn id="2" xr3:uid="{13384D67-E1ED-409B-B305-71B3102B30D4}" name="2023" dataDxfId="313">
      <calculatedColumnFormula>Tabla1[[#This Row],[2023]]-Tabla1[[#This Row],[2022]]</calculatedColumnFormula>
    </tableColumn>
    <tableColumn id="3" xr3:uid="{8D34D9F6-3727-4C29-89A6-E9786D6B8A18}" name="2024" dataDxfId="312">
      <calculatedColumnFormula>Tabla1[[#This Row],[2024]]-Tabla1[[#This Row],[2023]]</calculatedColumnFormula>
    </tableColumn>
    <tableColumn id="4" xr3:uid="{D1F38433-F2D1-4CE5-8180-C4F537EAED99}" name="2025" dataDxfId="311">
      <calculatedColumnFormula>Tabla1[[#This Row],[2025]]-Tabla1[[#This Row],[2024]]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749DD10-7DB6-4650-A994-D76BC0551088}" name="Tabla833" displayName="Tabla833" ref="A18:D30" totalsRowShown="0" headerRowDxfId="310" headerRowBorderDxfId="309" tableBorderDxfId="308">
  <autoFilter ref="A18:D30" xr:uid="{A749DD10-7DB6-4650-A994-D76BC0551088}"/>
  <tableColumns count="4">
    <tableColumn id="1" xr3:uid="{63DB5702-0A30-46E3-836A-8317D46A1758}" name="%"/>
    <tableColumn id="2" xr3:uid="{41DC1465-8760-41B4-AB6D-D89B4E6ECC52}" name="2023" dataDxfId="307">
      <calculatedColumnFormula>('MENSUAL COMERCIALES'!B13-'MENSUAL COMERCIALES'!B2)/'MENSUAL COMERCIALES'!B2</calculatedColumnFormula>
    </tableColumn>
    <tableColumn id="3" xr3:uid="{DE9207A6-6643-40DE-AAF9-A5D7077F1B1C}" name="2024" dataDxfId="306">
      <calculatedColumnFormula>('MENSUAL COMERCIALES'!B24-'MENSUAL COMERCIALES'!B13)/'MENSUAL COMERCIALES'!B13</calculatedColumnFormula>
    </tableColumn>
    <tableColumn id="4" xr3:uid="{F905D582-7A65-45C3-B4D6-A3F2C8F0FF96}" name="2025" dataDxfId="305">
      <calculatedColumnFormula>('MENSUAL COMERCIALES'!B35-'MENSUAL COMERCIALES'!B24)/'MENSUAL COMERCIALES'!B24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D530223-827D-40CA-A7C0-D902DB0B63FE}" name="Tabla81034" displayName="Tabla81034" ref="F18:I30" totalsRowShown="0" headerRowDxfId="304" headerRowBorderDxfId="303" tableBorderDxfId="302">
  <autoFilter ref="F18:I30" xr:uid="{7D530223-827D-40CA-A7C0-D902DB0B63FE}"/>
  <tableColumns count="4">
    <tableColumn id="1" xr3:uid="{5876D771-38CD-4545-A97C-97D6D6CD3200}" name="%"/>
    <tableColumn id="2" xr3:uid="{B23FE69D-C152-4843-9D25-0536F75B4029}" name="2023" dataDxfId="301">
      <calculatedColumnFormula>('TRIMESTRAL COMERCIALES'!B13-'TRIMESTRAL COMERCIALES'!B2)/'TRIMESTRAL COMERCIALES'!B2</calculatedColumnFormula>
    </tableColumn>
    <tableColumn id="3" xr3:uid="{812ABD7B-53B4-4C9C-9282-6DCEF18E227E}" name="2024" dataDxfId="300">
      <calculatedColumnFormula>('TRIMESTRAL COMERCIALES'!B24-'TRIMESTRAL COMERCIALES'!B13)/'TRIMESTRAL COMERCIALES'!B13</calculatedColumnFormula>
    </tableColumn>
    <tableColumn id="4" xr3:uid="{72A31ACB-85E1-41E6-A172-8045DAEBAB15}" name="2025" dataDxfId="299">
      <calculatedColumnFormula>('TRIMESTRAL COMERCIALES'!B35-'TRIMESTRAL COMERCIALES'!B24)/'TRIMESTRAL COMERCIALES'!B24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02F0A94-1D24-4BD2-99EA-ED0C4F68CA81}" name="Tabla81135" displayName="Tabla81135" ref="K18:N30" totalsRowShown="0" headerRowDxfId="298" headerRowBorderDxfId="297" tableBorderDxfId="296">
  <autoFilter ref="K18:N30" xr:uid="{C02F0A94-1D24-4BD2-99EA-ED0C4F68CA81}"/>
  <tableColumns count="4">
    <tableColumn id="1" xr3:uid="{037ED45E-2414-4C40-AFC6-DC4922EB663B}" name="%"/>
    <tableColumn id="2" xr3:uid="{6B7A4274-5351-4720-ACD6-231F0A3BB81E}" name="2023" dataDxfId="295">
      <calculatedColumnFormula>('ANUAL COMERCIALES'!C3-'ANUAL COMERCIALES'!B3)/'ANUAL COMERCIALES'!B3</calculatedColumnFormula>
    </tableColumn>
    <tableColumn id="3" xr3:uid="{F896D3D5-E911-4CC7-BF02-2D99F9836A44}" name="2024" dataDxfId="294">
      <calculatedColumnFormula>('ANUAL COMERCIALES'!D3-'ANUAL COMERCIALES'!C3)/'ANUAL COMERCIALES'!C3</calculatedColumnFormula>
    </tableColumn>
    <tableColumn id="4" xr3:uid="{23008F47-937E-4971-B8F2-11340C6AB594}" name="2025" dataDxfId="293">
      <calculatedColumnFormula>('ANUAL COMERCIALES'!E3-'ANUAL COMERCIALES'!D3)/'ANUAL COMERCIALES'!D3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A29DD0C-C63E-4268-93C0-3940659AF5B8}" name="Tabla836" displayName="Tabla836" ref="A2:D14" totalsRowShown="0" headerRowDxfId="292" headerRowBorderDxfId="291" tableBorderDxfId="290">
  <autoFilter ref="A2:D14" xr:uid="{DA29DD0C-C63E-4268-93C0-3940659AF5B8}"/>
  <tableColumns count="4">
    <tableColumn id="1" xr3:uid="{1E61E6FD-25C4-4EC0-B3FE-9D3C2FD766D2}" name="NUMÉRICO"/>
    <tableColumn id="2" xr3:uid="{139FD44F-203B-479D-8DCB-19BD34D95ECB}" name="2023" dataDxfId="289">
      <calculatedColumnFormula>'MENSUAL COMERCIALES'!B14-Tabla6[[#This Row],[ENERO]]</calculatedColumnFormula>
    </tableColumn>
    <tableColumn id="3" xr3:uid="{0754C65B-9222-46D3-88A0-57D89C14376E}" name="2024" dataDxfId="288">
      <calculatedColumnFormula>'MENSUAL COMERCIALES'!B25-'MENSUAL COMERCIALES'!B14</calculatedColumnFormula>
    </tableColumn>
    <tableColumn id="4" xr3:uid="{98F17A59-0733-4D7C-9E58-1A388118BFF9}" name="2025" dataDxfId="287">
      <calculatedColumnFormula>'MENSUAL COMERCIALES'!B36-'MENSUAL COMERCIALES'!B25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A0CC5CE-2BC4-4A46-B5CA-6084AE07E8E2}" name="Tabla83339" displayName="Tabla83339" ref="A18:D30" totalsRowShown="0" headerRowDxfId="286" headerRowBorderDxfId="285" tableBorderDxfId="284">
  <autoFilter ref="A18:D30" xr:uid="{3A0CC5CE-2BC4-4A46-B5CA-6084AE07E8E2}"/>
  <tableColumns count="4">
    <tableColumn id="1" xr3:uid="{98E02464-F388-4D08-A223-4BE867EAECE7}" name="%"/>
    <tableColumn id="2" xr3:uid="{16D2B4F1-B0BC-4CA5-B74A-E273AD894133}" name="2023" dataDxfId="283" dataCellStyle="Porcentaje">
      <calculatedColumnFormula>('MENSUAL COMERCIALES'!B14-'MENSUAL COMERCIALES'!B3)/'MENSUAL COMERCIALES'!B3</calculatedColumnFormula>
    </tableColumn>
    <tableColumn id="3" xr3:uid="{0616573D-B071-4B90-93B5-A05EAEA324EB}" name="2024" dataDxfId="282" dataCellStyle="Porcentaje">
      <calculatedColumnFormula>('MENSUAL COMERCIALES'!B25-'MENSUAL COMERCIALES'!B14)/'MENSUAL COMERCIALES'!B14</calculatedColumnFormula>
    </tableColumn>
    <tableColumn id="4" xr3:uid="{BABCF238-0BC4-4E99-9A28-57453231AE57}" name="2025" dataCellStyle="Porcentaj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2DB076-A454-40A2-9685-CAF03A8EC868}" name="Tabla8118" displayName="Tabla8118" ref="K2:N14" totalsRowShown="0" headerRowDxfId="281" headerRowBorderDxfId="280" tableBorderDxfId="279">
  <autoFilter ref="K2:N14" xr:uid="{4F2DB076-A454-40A2-9685-CAF03A8EC868}"/>
  <tableColumns count="4">
    <tableColumn id="1" xr3:uid="{BDDB4496-0B00-4B92-9469-65857D9DF2A5}" name="NUMÉRICO"/>
    <tableColumn id="2" xr3:uid="{CAC8E766-0A87-4EC1-9E6D-5D04709D6D47}" name="2023" dataDxfId="278">
      <calculatedColumnFormula>'ANUAL COMERCIALES'!C4-'ANUAL COMERCIALES'!B4</calculatedColumnFormula>
    </tableColumn>
    <tableColumn id="3" xr3:uid="{275F1B3E-C158-4BCA-BB2F-F50926FF31F1}" name="2024" dataDxfId="277">
      <calculatedColumnFormula>'ANUAL COMERCIALES'!D4-'ANUAL COMERCIALES'!C4</calculatedColumnFormula>
    </tableColumn>
    <tableColumn id="4" xr3:uid="{BDAD54EE-7926-4F3F-861F-B3950DCAFE0D}" name="2025" dataDxfId="276">
      <calculatedColumnFormula>'ANUAL COMERCIALES'!E4-'ANUAL COMERCIALES'!D4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55E1899-34B0-4B2C-85A6-53EF53ABCF7A}" name="Tabla8103412" displayName="Tabla8103412" ref="F18:I30" totalsRowShown="0" headerRowDxfId="275" headerRowBorderDxfId="274" tableBorderDxfId="273">
  <autoFilter ref="F18:I30" xr:uid="{755E1899-34B0-4B2C-85A6-53EF53ABCF7A}"/>
  <tableColumns count="4">
    <tableColumn id="1" xr3:uid="{682C7A92-BFFF-4322-B465-55F45B9D988F}" name="%"/>
    <tableColumn id="2" xr3:uid="{C0E23FF8-4D11-4B67-A352-44FF50FE5D76}" name="2023" dataDxfId="272">
      <calculatedColumnFormula>('TRIMESTRAL COMERCIALES'!B14-'TRIMESTRAL COMERCIALES'!B3)/'TRIMESTRAL COMERCIALES'!B3</calculatedColumnFormula>
    </tableColumn>
    <tableColumn id="3" xr3:uid="{D3B88898-4F93-47C0-ABF1-216E98181CD9}" name="2024" dataDxfId="271">
      <calculatedColumnFormula>('TRIMESTRAL COMERCIALES'!B25-'TRIMESTRAL COMERCIALES'!B14)/'TRIMESTRAL COMERCIALES'!B14</calculatedColumnFormula>
    </tableColumn>
    <tableColumn id="4" xr3:uid="{92969758-C74E-4CA5-BA1C-8A8A580CAD7B}" name="2025" dataDxfId="270">
      <calculatedColumnFormula>('TRIMESTRAL COMERCIALES'!B36-'TRIMESTRAL COMERCIALES'!B25)/'TRIMESTRAL COMERCIALES'!B25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D7D026-A66D-489E-B619-F0B40381BFC9}" name="Tabla8113513" displayName="Tabla8113513" ref="K18:N30" totalsRowShown="0" headerRowDxfId="269" headerRowBorderDxfId="268" tableBorderDxfId="267">
  <autoFilter ref="K18:N30" xr:uid="{0AD7D026-A66D-489E-B619-F0B40381BFC9}"/>
  <tableColumns count="4">
    <tableColumn id="1" xr3:uid="{673F9BD3-740C-4DAB-8235-B27866C58FFB}" name="%"/>
    <tableColumn id="2" xr3:uid="{7204C466-72FD-4664-9832-559D8DC52B92}" name="2023" dataDxfId="266">
      <calculatedColumnFormula>('ANUAL COMERCIALES'!C4-'ANUAL COMERCIALES'!B4)/'ANUAL COMERCIALES'!B4</calculatedColumnFormula>
    </tableColumn>
    <tableColumn id="3" xr3:uid="{2CD13215-76DB-4259-853F-07E4E25F51D7}" name="2024" dataDxfId="265">
      <calculatedColumnFormula>('ANUAL COMERCIALES'!D4-'ANUAL COMERCIALES'!C4)/'ANUAL COMERCIALES'!C4</calculatedColumnFormula>
    </tableColumn>
    <tableColumn id="4" xr3:uid="{0242DB24-3D7C-4BAD-B9E4-D2C23FBD0018}" name="2025" dataDxfId="264">
      <calculatedColumnFormula>('ANUAL COMERCIALES'!E4-'ANUAL COMERCIALES'!D4)/'ANUAL COMERCIALES'!D4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BF283-6B65-492E-9511-57B4339E0522}" name="Tabla8105" displayName="Tabla8105" ref="F2:I14" totalsRowShown="0" headerRowDxfId="263" headerRowBorderDxfId="262" tableBorderDxfId="261">
  <autoFilter ref="F2:I14" xr:uid="{4AABF283-6B65-492E-9511-57B4339E0522}"/>
  <tableColumns count="4">
    <tableColumn id="1" xr3:uid="{D9C89245-6C4A-4348-B2A8-AC5B311E4EEC}" name="NUMÉRICO"/>
    <tableColumn id="2" xr3:uid="{4BD573AA-1300-4562-9908-71EC5D16D236}" name="2023" dataDxfId="260">
      <calculatedColumnFormula>'TRIMESTRAL COMERCIALES'!B14-Tabla2[[#This Row],[1ER TRIMESTRE]]</calculatedColumnFormula>
    </tableColumn>
    <tableColumn id="3" xr3:uid="{B26C88D3-2538-4342-A234-A2121C322673}" name="2024" dataDxfId="259">
      <calculatedColumnFormula>'TRIMESTRAL COMERCIALES'!B25-'TRIMESTRAL COMERCIALES'!B14</calculatedColumnFormula>
    </tableColumn>
    <tableColumn id="4" xr3:uid="{8CC73C45-3877-4B49-846A-1C2317683244}" name="2025" dataDxfId="258">
      <calculatedColumnFormula>'TRIMESTRAL COMERCIALES'!B36-'TRIMESTRAL COMERCIALES'!B25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5947396-480F-448D-A356-6DCD33274CEE}" name="Tabla842" displayName="Tabla842" ref="A2:D14" totalsRowShown="0" headerRowDxfId="257" headerRowBorderDxfId="256" tableBorderDxfId="255">
  <autoFilter ref="A2:D14" xr:uid="{55947396-480F-448D-A356-6DCD33274CEE}"/>
  <tableColumns count="4">
    <tableColumn id="1" xr3:uid="{02EEB450-03A4-410F-A1D8-568A27BCC644}" name="NUMÉRICO"/>
    <tableColumn id="2" xr3:uid="{6147103B-E8E9-4CE2-A580-18C9DC122DD6}" name="2023" dataDxfId="254">
      <calculatedColumnFormula>'MENSUAL COMERCIALES'!B14-'MENSUAL COMERCIALES'!B4</calculatedColumnFormula>
    </tableColumn>
    <tableColumn id="3" xr3:uid="{AB05B2BD-E0F3-4A88-AC27-3705483C892B}" name="2024" dataDxfId="253">
      <calculatedColumnFormula>'MENSUAL COMERCIALES'!B26-'MENSUAL COMERCIALES'!B15</calculatedColumnFormula>
    </tableColumn>
    <tableColumn id="4" xr3:uid="{5A347357-D994-40AC-9527-494E87E68108}" name="2025" dataDxfId="252">
      <calculatedColumnFormula>'MENSUAL COMERCIALES'!B37-'MENSUAL COMERCIALES'!B26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BCFAA1A-E85C-4B55-BABA-5301B46B0339}" name="Tabla83345" displayName="Tabla83345" ref="A18:D30" totalsRowShown="0" headerRowDxfId="251" dataDxfId="249" headerRowBorderDxfId="250" tableBorderDxfId="248">
  <autoFilter ref="A18:D30" xr:uid="{4BCFAA1A-E85C-4B55-BABA-5301B46B0339}"/>
  <tableColumns count="4">
    <tableColumn id="1" xr3:uid="{E9309AAB-A8FF-4DFF-8A26-B547ADD6C9C1}" name="%" dataDxfId="247"/>
    <tableColumn id="2" xr3:uid="{53DE9052-2F58-4E18-ABA1-ACD3D3C969AA}" name="2023" dataDxfId="246" dataCellStyle="Porcentaje">
      <calculatedColumnFormula>('MENSUAL COMERCIALES'!B15-'MENSUAL COMERCIALES'!B4)/1</calculatedColumnFormula>
    </tableColumn>
    <tableColumn id="3" xr3:uid="{3ABF9748-F92C-4F74-97C6-6997F18B0ED9}" name="2024" dataDxfId="245" dataCellStyle="Porcentaje">
      <calculatedColumnFormula>('MENSUAL COMERCIALES'!B26-'MENSUAL COMERCIALES'!B15)/'MENSUAL COMERCIALES'!B15</calculatedColumnFormula>
    </tableColumn>
    <tableColumn id="4" xr3:uid="{8E3CB094-A15B-4878-AA81-92F202B446E2}" name="2025" dataDxfId="244" dataCellStyle="Porcentaje">
      <calculatedColumnFormula>('MENSUAL COMERCIALES'!B37-'MENSUAL COMERCIALES'!B26)/'MENSUAL COMERCIALES'!B26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49751B-9A1D-42B3-91D9-7FE1A842314D}" name="Tabla81014" displayName="Tabla81014" ref="F2:I14" totalsRowShown="0" headerRowDxfId="243" headerRowBorderDxfId="242" tableBorderDxfId="241">
  <autoFilter ref="F2:I14" xr:uid="{C949751B-9A1D-42B3-91D9-7FE1A842314D}"/>
  <tableColumns count="4">
    <tableColumn id="1" xr3:uid="{BE96B770-FF5E-4C4D-8257-89EF9BB2223B}" name="NUMÉRICO"/>
    <tableColumn id="2" xr3:uid="{6F2FA9F0-D2D3-4632-A35E-C2749C6A20C2}" name="2023" dataDxfId="240">
      <calculatedColumnFormula>'TRIMESTRAL COMERCIALES'!B15-'TRIMESTRAL COMERCIALES'!B4</calculatedColumnFormula>
    </tableColumn>
    <tableColumn id="3" xr3:uid="{A2F10D30-258D-4538-B722-DA97588C407B}" name="2024" dataDxfId="239">
      <calculatedColumnFormula>'TRIMESTRAL COMERCIALES'!B26-'TRIMESTRAL COMERCIALES'!B15</calculatedColumnFormula>
    </tableColumn>
    <tableColumn id="4" xr3:uid="{2696F0ED-082B-4C38-8808-3FC49A2967C2}" name="2025" dataDxfId="238">
      <calculatedColumnFormula>'TRIMESTRAL COMERCIALES'!B37-'TRIMESTRAL COMERCIALES'!B26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97FCF4-9B1F-4D06-9D36-FE9D44DFD06D}" name="Tabla81115" displayName="Tabla81115" ref="K2:N14" totalsRowShown="0" headerRowDxfId="237" headerRowBorderDxfId="236" tableBorderDxfId="235">
  <autoFilter ref="K2:N14" xr:uid="{C697FCF4-9B1F-4D06-9D36-FE9D44DFD06D}"/>
  <tableColumns count="4">
    <tableColumn id="1" xr3:uid="{C29F8AC6-2ED1-46AD-9263-F4AA22D567F9}" name="NUMÉRICO"/>
    <tableColumn id="2" xr3:uid="{0D254379-17ED-42FC-BD72-F4D035C5D11C}" name="2023" dataDxfId="234">
      <calculatedColumnFormula>'ANUAL COMERCIALES'!C5-'ANUAL COMERCIALES'!B5</calculatedColumnFormula>
    </tableColumn>
    <tableColumn id="3" xr3:uid="{9C448648-96B5-4BD6-A0A6-3A41F983529B}" name="2024" dataDxfId="233">
      <calculatedColumnFormula>'ANUAL COMERCIALES'!D5-'ANUAL COMERCIALES'!C5</calculatedColumnFormula>
    </tableColumn>
    <tableColumn id="4" xr3:uid="{90D1BEC4-7D86-45F0-B138-89AE858D8456}" name="2025" dataDxfId="232">
      <calculatedColumnFormula>'ANUAL COMERCIALES'!E5-'ANUAL COMERCIALES'!D5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D2EBC8-3A20-4AF3-B597-58C5A16DABDF}" name="Tabla8103416" displayName="Tabla8103416" ref="F18:I30" totalsRowShown="0" headerRowDxfId="231" dataDxfId="229" headerRowBorderDxfId="230" tableBorderDxfId="228">
  <autoFilter ref="F18:I30" xr:uid="{FBD2EBC8-3A20-4AF3-B597-58C5A16DABDF}"/>
  <tableColumns count="4">
    <tableColumn id="1" xr3:uid="{FF4B7B5C-EC53-40BC-A385-8BE96A542388}" name="%" dataDxfId="227"/>
    <tableColumn id="2" xr3:uid="{BC84B52E-95B2-43AC-ACC9-6B682CCEE203}" name="2023" dataDxfId="226">
      <calculatedColumnFormula>('TRIMESTRAL COMERCIALES'!B15-'TRIMESTRAL COMERCIALES'!B4)/'TRIMESTRAL COMERCIALES'!B4</calculatedColumnFormula>
    </tableColumn>
    <tableColumn id="3" xr3:uid="{03D712E2-AFC2-4357-9A48-2D033A2CCC8C}" name="2024" dataDxfId="225">
      <calculatedColumnFormula>('TRIMESTRAL COMERCIALES'!B26-'TRIMESTRAL COMERCIALES'!B15)/'TRIMESTRAL COMERCIALES'!B15</calculatedColumnFormula>
    </tableColumn>
    <tableColumn id="4" xr3:uid="{612B68D7-4CE1-4054-B062-230B22360F21}" name="2025" dataDxfId="224">
      <calculatedColumnFormula>('TRIMESTRAL COMERCIALES'!B37-'TRIMESTRAL COMERCIALES'!B26)/'TRIMESTRAL COMERCIALES'!B26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E9568F0-81C6-4080-B0B0-254BB002FF68}" name="Tabla8113517" displayName="Tabla8113517" ref="K18:N30" totalsRowShown="0" headerRowDxfId="223" dataDxfId="221" headerRowBorderDxfId="222" tableBorderDxfId="220">
  <autoFilter ref="K18:N30" xr:uid="{AE9568F0-81C6-4080-B0B0-254BB002FF68}"/>
  <tableColumns count="4">
    <tableColumn id="1" xr3:uid="{A652A05E-6629-4FD4-A7EC-2C8B1A257B3C}" name="%" dataDxfId="219"/>
    <tableColumn id="2" xr3:uid="{149FA7FF-976F-4C79-979C-308954F3C888}" name="2023" dataDxfId="218">
      <calculatedColumnFormula>('ANUAL COMERCIALES'!C5-'ANUAL COMERCIALES'!B5)/'ANUAL COMERCIALES'!B5</calculatedColumnFormula>
    </tableColumn>
    <tableColumn id="3" xr3:uid="{771ABC13-755A-4677-830E-6E5B6AEAC96F}" name="2024" dataDxfId="217">
      <calculatedColumnFormula>('ANUAL COMERCIALES'!D5-'ANUAL COMERCIALES'!C5)/'ANUAL COMERCIALES'!C5</calculatedColumnFormula>
    </tableColumn>
    <tableColumn id="4" xr3:uid="{3BBDF30B-120E-4FEE-9BE9-0E38034F383E}" name="2025" dataDxfId="216">
      <calculatedColumnFormula>('ANUAL COMERCIALES'!E5-'ANUAL COMERCIALES'!D5)/'ANUAL COMERCIALES'!D5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6AC8FD5-0917-40BD-B5BE-5EC152327E7B}" name="Tabla848" displayName="Tabla848" ref="A2:D14" totalsRowShown="0" headerRowDxfId="215" dataDxfId="213" headerRowBorderDxfId="214" tableBorderDxfId="212">
  <autoFilter ref="A2:D14" xr:uid="{96AC8FD5-0917-40BD-B5BE-5EC152327E7B}"/>
  <tableColumns count="4">
    <tableColumn id="1" xr3:uid="{C2301C0E-C235-4F75-AEDC-54CBCDE151D8}" name="NUMÉRICO" dataDxfId="211"/>
    <tableColumn id="2" xr3:uid="{4804C797-A58F-4B7B-A226-E52810E94DA3}" name="2023" dataDxfId="210">
      <calculatedColumnFormula>'MENSUAL COMERCIALES'!B16-'MENSUAL COMERCIALES'!B5</calculatedColumnFormula>
    </tableColumn>
    <tableColumn id="3" xr3:uid="{A0531543-CE00-4F96-A82B-860096036B4F}" name="2024" dataDxfId="209">
      <calculatedColumnFormula>'MENSUAL COMERCIALES'!B27-'MENSUAL COMERCIALES'!B16</calculatedColumnFormula>
    </tableColumn>
    <tableColumn id="4" xr3:uid="{CC18F4DA-1CCE-4E68-AA58-D419B94D4A44}" name="2025" dataDxfId="208">
      <calculatedColumnFormula>'MENSUAL COMERCIALES'!B38-'MENSUAL COMERCIALES'!B27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19935EA-C07F-4D54-A724-908050D1E2E5}" name="Tabla83351" displayName="Tabla83351" ref="A18:D30" totalsRowShown="0" headerRowDxfId="207" dataDxfId="205" headerRowBorderDxfId="206" tableBorderDxfId="204">
  <autoFilter ref="A18:D30" xr:uid="{C19935EA-C07F-4D54-A724-908050D1E2E5}"/>
  <tableColumns count="4">
    <tableColumn id="1" xr3:uid="{C3FFB147-661D-4831-813E-24A59C7229A1}" name="%" dataDxfId="203"/>
    <tableColumn id="2" xr3:uid="{58DE1DB0-919C-42AF-A4C1-FD3E84AF2645}" name="2023" dataDxfId="202" dataCellStyle="Porcentaje">
      <calculatedColumnFormula>('MENSUAL COMERCIALES'!B16-'MENSUAL COMERCIALES'!B5)/'MENSUAL COMERCIALES'!B5</calculatedColumnFormula>
    </tableColumn>
    <tableColumn id="3" xr3:uid="{19DBD850-2712-4716-9D0F-ADBD2B6B7C4E}" name="2024" dataDxfId="201" dataCellStyle="Porcentaje">
      <calculatedColumnFormula>('MENSUAL COMERCIALES'!B27-'MENSUAL COMERCIALES'!B16)/'MENSUAL COMERCIALES'!B16</calculatedColumnFormula>
    </tableColumn>
    <tableColumn id="4" xr3:uid="{3305F5B1-C36C-4F86-A637-E7ECEF54C39F}" name="2025" dataDxfId="200" dataCellStyle="Porcentaje">
      <calculatedColumnFormula>('MENSUAL COMERCIALES'!B38-'MENSUAL COMERCIALES'!B27)/'MENSUAL COMERCIALES'!B27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696A505-8557-4086-9FE8-AB8D4FE7B931}" name="Tabla81018" displayName="Tabla81018" ref="F2:I14" totalsRowShown="0" headerRowDxfId="199" headerRowBorderDxfId="198" tableBorderDxfId="197">
  <autoFilter ref="F2:I14" xr:uid="{A696A505-8557-4086-9FE8-AB8D4FE7B931}"/>
  <tableColumns count="4">
    <tableColumn id="1" xr3:uid="{D46533FD-8A73-414F-ACD0-469633EBCF9B}" name="NUMÉRICO"/>
    <tableColumn id="2" xr3:uid="{6E68DD96-8CDD-4B33-A2A5-5E959BEE03BD}" name="2023" dataDxfId="196">
      <calculatedColumnFormula>'TRIMESTRAL COMERCIALES'!B16-'TRIMESTRAL COMERCIALES'!B5</calculatedColumnFormula>
    </tableColumn>
    <tableColumn id="3" xr3:uid="{423F8BAA-6201-4324-AD4D-20FE7AC7EF32}" name="2024" dataDxfId="195">
      <calculatedColumnFormula>'TRIMESTRAL COMERCIALES'!B27-'TRIMESTRAL COMERCIALES'!B16</calculatedColumnFormula>
    </tableColumn>
    <tableColumn id="4" xr3:uid="{D89270BE-1352-4AAB-A569-8F66769FCB74}" name="2025" dataDxfId="194">
      <calculatedColumnFormula>'TRIMESTRAL COMERCIALES'!B38-'TRIMESTRAL COMERCIALES'!B27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2025A87-D68C-4ABD-88C1-987EFA956861}" name="Tabla81119" displayName="Tabla81119" ref="K2:N14" totalsRowShown="0" headerRowDxfId="193" headerRowBorderDxfId="192" tableBorderDxfId="191">
  <autoFilter ref="K2:N14" xr:uid="{42025A87-D68C-4ABD-88C1-987EFA956861}"/>
  <tableColumns count="4">
    <tableColumn id="1" xr3:uid="{E93ADD38-C701-4CC8-B60D-97715D101478}" name="NUMÉRICO"/>
    <tableColumn id="2" xr3:uid="{29014F33-D105-4118-AF78-D1AE74FAD3BE}" name="2023" dataDxfId="190">
      <calculatedColumnFormula>'ANUAL COMERCIALES'!C6-'ANUAL COMERCIALES'!B6</calculatedColumnFormula>
    </tableColumn>
    <tableColumn id="3" xr3:uid="{CC92A1E3-488B-4673-959B-81DCC43B53E0}" name="2024" dataDxfId="189">
      <calculatedColumnFormula>'ANUAL COMERCIALES'!D6-'ANUAL COMERCIALES'!C6</calculatedColumnFormula>
    </tableColumn>
    <tableColumn id="4" xr3:uid="{8E54019B-277E-4EF3-8991-B8F1F6C528F7}" name="2025" dataDxfId="188">
      <calculatedColumnFormula>'ANUAL COMERCIALES'!E6-'ANUAL COMERCIALES'!D6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3F539D2-29AB-4A63-9AEB-2CB8654D9465}" name="Tabla8103420" displayName="Tabla8103420" ref="F18:I30" totalsRowShown="0" headerRowDxfId="187" dataDxfId="185" headerRowBorderDxfId="186" tableBorderDxfId="184">
  <autoFilter ref="F18:I30" xr:uid="{E3F539D2-29AB-4A63-9AEB-2CB8654D9465}"/>
  <tableColumns count="4">
    <tableColumn id="1" xr3:uid="{F5097D59-9E20-4983-92AE-F46802D6A492}" name="%" dataDxfId="183"/>
    <tableColumn id="2" xr3:uid="{D2505131-073D-4FA7-AEAB-067D982EAD0D}" name="2023" dataDxfId="182">
      <calculatedColumnFormula>('TRIMESTRAL COMERCIALES'!B16-'TRIMESTRAL COMERCIALES'!B5)/'TRIMESTRAL COMERCIALES'!B5</calculatedColumnFormula>
    </tableColumn>
    <tableColumn id="3" xr3:uid="{01636C44-B656-4144-B5CC-5BCE1E4BCC7D}" name="2024" dataDxfId="181">
      <calculatedColumnFormula>('TRIMESTRAL COMERCIALES'!B27-'TRIMESTRAL COMERCIALES'!B16)/'TRIMESTRAL COMERCIALES'!B16</calculatedColumnFormula>
    </tableColumn>
    <tableColumn id="4" xr3:uid="{17D7F218-AE00-45B9-A5B7-B14BDF22D473}" name="2025" dataDxfId="180">
      <calculatedColumnFormula>('TRIMESTRAL COMERCIALES'!B38-'TRIMESTRAL COMERCIALES'!B27)/'TRIMESTRAL COMERCIALES'!B27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6B3196C-7697-4D2E-B814-109A7A9E723E}" name="Tabla8113521" displayName="Tabla8113521" ref="K18:N30" totalsRowShown="0" headerRowDxfId="179" dataDxfId="177" headerRowBorderDxfId="178" tableBorderDxfId="176">
  <autoFilter ref="K18:N30" xr:uid="{C6B3196C-7697-4D2E-B814-109A7A9E723E}"/>
  <tableColumns count="4">
    <tableColumn id="1" xr3:uid="{5B9A08B6-E2E2-4403-986C-C6B3F83C1467}" name="%" dataDxfId="175"/>
    <tableColumn id="2" xr3:uid="{1C253F12-FB8F-4E84-9643-EED87C409CFB}" name="2023" dataDxfId="174">
      <calculatedColumnFormula>('ANUAL COMERCIALES'!C6-'ANUAL COMERCIALES'!B6)/'ANUAL COMERCIALES'!B6</calculatedColumnFormula>
    </tableColumn>
    <tableColumn id="3" xr3:uid="{CBD18DA1-1E49-42AF-B46A-F0FC15D73FDD}" name="2024" dataDxfId="173">
      <calculatedColumnFormula>('ANUAL COMERCIALES'!D6-'ANUAL COMERCIALES'!C6)/'ANUAL COMERCIALES'!C6</calculatedColumnFormula>
    </tableColumn>
    <tableColumn id="4" xr3:uid="{8F4D0814-6E65-4973-87C9-C13637987685}" name="2025" dataDxfId="172">
      <calculatedColumnFormula>('ANUAL COMERCIALES'!E6-'ANUAL COMERCIALES'!D6)/'ANUAL COMERCIALES'!D6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A8DC01E-DEE2-4E5C-B497-EAF6C68431F1}" name="Tabla854" displayName="Tabla854" ref="A2:D14" totalsRowShown="0" headerRowDxfId="171" headerRowBorderDxfId="170" tableBorderDxfId="169">
  <autoFilter ref="A2:D14" xr:uid="{FA8DC01E-DEE2-4E5C-B497-EAF6C68431F1}"/>
  <tableColumns count="4">
    <tableColumn id="1" xr3:uid="{70E58B6A-7166-4E4E-9CBA-60E2E02873A4}" name="NUMÉRICO"/>
    <tableColumn id="2" xr3:uid="{8D127AF2-2730-409B-AD44-9D25A8A1C576}" name="2023" dataDxfId="168">
      <calculatedColumnFormula>'MENSUAL COMERCIALES'!B17-'MENSUAL COMERCIALES'!B6</calculatedColumnFormula>
    </tableColumn>
    <tableColumn id="3" xr3:uid="{C4B9F37B-4BC3-43E6-8091-E6844603630C}" name="2024" dataDxfId="167">
      <calculatedColumnFormula>'MENSUAL COMERCIALES'!B28-'MENSUAL COMERCIALES'!B17</calculatedColumnFormula>
    </tableColumn>
    <tableColumn id="4" xr3:uid="{6D50A1C9-A269-4601-A4D7-D06E347D862A}" name="2025" dataDxfId="166">
      <calculatedColumnFormula>'MENSUAL COMERCIALES'!B39-'MENSUAL COMERCIALES'!B28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170EAB7-3CED-42B7-B0EC-8A37E3E1F96E}" name="Tabla83357" displayName="Tabla83357" ref="A18:D30" totalsRowShown="0" headerRowDxfId="165" headerRowBorderDxfId="164" tableBorderDxfId="163">
  <autoFilter ref="A18:D30" xr:uid="{9170EAB7-3CED-42B7-B0EC-8A37E3E1F96E}"/>
  <tableColumns count="4">
    <tableColumn id="1" xr3:uid="{DE90F08C-821F-4A10-8EB4-2C3D59587B81}" name="%"/>
    <tableColumn id="2" xr3:uid="{6AD37F84-7EF2-4FAD-A03A-A26022DC40B4}" name="2023" dataCellStyle="Porcentaje">
      <calculatedColumnFormula>('MENSUAL COMERCIALES'!B17-'MENSUAL COMERCIALES'!B6)/'MENSUAL COMERCIALES'!B6</calculatedColumnFormula>
    </tableColumn>
    <tableColumn id="3" xr3:uid="{C4F31914-D47B-45BC-8F3A-32BE0B3E9E88}" name="2024" dataDxfId="162" dataCellStyle="Porcentaje">
      <calculatedColumnFormula>('MENSUAL COMERCIALES'!B28-'MENSUAL COMERCIALES'!B17)/'MENSUAL COMERCIALES'!B17</calculatedColumnFormula>
    </tableColumn>
    <tableColumn id="4" xr3:uid="{178BAFDE-C691-4E67-A906-3293CEAFD86A}" name="2025" dataDxfId="161" dataCellStyle="Porcentaje">
      <calculatedColumnFormula>('MENSUAL COMERCIALES'!B39-'MENSUAL COMERCIALES'!B28)/'MENSUAL COMERCIALES'!B28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673E50-DFC8-4B18-AC48-8975713A3AC3}" name="Tabla81022" displayName="Tabla81022" ref="F2:I14" totalsRowShown="0" headerRowDxfId="160" headerRowBorderDxfId="159" tableBorderDxfId="158">
  <autoFilter ref="F2:I14" xr:uid="{6E673E50-DFC8-4B18-AC48-8975713A3AC3}"/>
  <tableColumns count="4">
    <tableColumn id="1" xr3:uid="{B04403EB-CB36-4D08-8D4F-E347080F4943}" name="NUMÉRICO"/>
    <tableColumn id="2" xr3:uid="{5ABAD601-382A-4CD1-B354-5E3B05785963}" name="2023" dataDxfId="157">
      <calculatedColumnFormula>'TRIMESTRAL COMERCIALES'!B17-'TRIMESTRAL COMERCIALES'!B6</calculatedColumnFormula>
    </tableColumn>
    <tableColumn id="3" xr3:uid="{1BDAB142-7C00-4611-93CE-85733DE312F7}" name="2024" dataDxfId="156">
      <calculatedColumnFormula>'TRIMESTRAL COMERCIALES'!B28-'TRIMESTRAL COMERCIALES'!B17</calculatedColumnFormula>
    </tableColumn>
    <tableColumn id="4" xr3:uid="{32901F70-F34B-4A68-A5A1-9EBFD727F9B4}" name="2025" dataDxfId="155">
      <calculatedColumnFormula>'TRIMESTRAL COMERCIALES'!B39-'TRIMESTRAL COMERCIALES'!B28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7A40A78-2412-4243-B001-22E19FB640D7}" name="Tabla81123" displayName="Tabla81123" ref="K2:N14" totalsRowShown="0" headerRowDxfId="154" headerRowBorderDxfId="153" tableBorderDxfId="152">
  <autoFilter ref="K2:N14" xr:uid="{A7A40A78-2412-4243-B001-22E19FB640D7}"/>
  <tableColumns count="4">
    <tableColumn id="1" xr3:uid="{8C061E3F-97E9-4696-8E73-7F2A9EE1108C}" name="NUMÉRICO"/>
    <tableColumn id="2" xr3:uid="{D1236720-D438-425C-B13C-18B53A08F74B}" name="2023" dataDxfId="151">
      <calculatedColumnFormula>'ANUAL COMERCIALES'!C7-'ANUAL COMERCIALES'!B7</calculatedColumnFormula>
    </tableColumn>
    <tableColumn id="3" xr3:uid="{3FB95841-7706-4D1A-AA97-918CA851DD20}" name="2024" dataDxfId="150">
      <calculatedColumnFormula>'ANUAL COMERCIALES'!D7-'ANUAL COMERCIALES'!C7</calculatedColumnFormula>
    </tableColumn>
    <tableColumn id="4" xr3:uid="{B5343534-95C3-4851-8F3C-66848AFB1612}" name="2025" dataDxfId="149">
      <calculatedColumnFormula>'ANUAL COMERCIALES'!E7-'ANUAL COMERCIALES'!D7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8800D78-F4E7-40A7-9921-1CC9209579A1}" name="Tabla8103424" displayName="Tabla8103424" ref="F18:I30" totalsRowShown="0" headerRowDxfId="148" headerRowBorderDxfId="147" tableBorderDxfId="146">
  <autoFilter ref="F18:I30" xr:uid="{C8800D78-F4E7-40A7-9921-1CC9209579A1}"/>
  <tableColumns count="4">
    <tableColumn id="1" xr3:uid="{AEE56B32-D3B4-460C-BEAD-ACE5ADBDD548}" name="%"/>
    <tableColumn id="2" xr3:uid="{22547FBE-941E-4499-9F6C-B0DC8A6F4A0A}" name="2023" dataDxfId="145">
      <calculatedColumnFormula>('TRIMESTRAL COMERCIALES'!B17-'TRIMESTRAL COMERCIALES'!B6)/'TRIMESTRAL COMERCIALES'!B6</calculatedColumnFormula>
    </tableColumn>
    <tableColumn id="3" xr3:uid="{D98B475C-3BAD-433A-88A0-FF89F5994ABD}" name="2024" dataDxfId="144">
      <calculatedColumnFormula>('TRIMESTRAL COMERCIALES'!B28-'TRIMESTRAL COMERCIALES'!B17)/'TRIMESTRAL COMERCIALES'!B17</calculatedColumnFormula>
    </tableColumn>
    <tableColumn id="4" xr3:uid="{903EE363-C7F6-459D-A59C-DAB52CDEAE63}" name="2025" dataDxfId="143">
      <calculatedColumnFormula>('TRIMESTRAL COMERCIALES'!B39-'TRIMESTRAL COMERCIALES'!B28)/'TRIMESTRAL COMERCIALES'!B28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1F180E9-1C39-4C45-95B2-2B486776F651}" name="Tabla8113525" displayName="Tabla8113525" ref="K18:N30" totalsRowShown="0" headerRowDxfId="142" headerRowBorderDxfId="141" tableBorderDxfId="140">
  <autoFilter ref="K18:N30" xr:uid="{51F180E9-1C39-4C45-95B2-2B486776F651}"/>
  <tableColumns count="4">
    <tableColumn id="1" xr3:uid="{1DE52CA3-07BB-4AE4-96DB-693E076361F1}" name="%"/>
    <tableColumn id="2" xr3:uid="{D90C1C6E-5BBD-4370-9166-E43B8B9FC1CD}" name="2023" dataDxfId="139">
      <calculatedColumnFormula>('ANUAL COMERCIALES'!C3-'ANUAL COMERCIALES'!B3)/'ANUAL COMERCIALES'!B3</calculatedColumnFormula>
    </tableColumn>
    <tableColumn id="3" xr3:uid="{3DF775B8-812F-4AE3-8882-3E4FC9691903}" name="2024" dataDxfId="138">
      <calculatedColumnFormula>('ANUAL COMERCIALES'!D3-'ANUAL COMERCIALES'!C3)/'ANUAL COMERCIALES'!C3</calculatedColumnFormula>
    </tableColumn>
    <tableColumn id="4" xr3:uid="{C6E7192A-36CF-40A2-9785-8AD5995405B4}" name="2025" dataDxfId="137">
      <calculatedColumnFormula>('ANUAL COMERCIALES'!E7-'ANUAL COMERCIALES'!D7)/'ANUAL COMERCIALES'!D7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3363DAB-ACAE-4B2D-8299-B7B14EEDBD19}" name="Tabla860" displayName="Tabla860" ref="A2:D14" totalsRowShown="0" headerRowDxfId="136" dataDxfId="134" headerRowBorderDxfId="135" tableBorderDxfId="133">
  <autoFilter ref="A2:D14" xr:uid="{A3363DAB-ACAE-4B2D-8299-B7B14EEDBD19}"/>
  <tableColumns count="4">
    <tableColumn id="1" xr3:uid="{CED7C521-2A5B-4AB4-B641-5E753B2BC7D1}" name="NUMÉRICO" dataDxfId="132"/>
    <tableColumn id="2" xr3:uid="{B29F315A-3ABE-454E-86E1-1910B75473A9}" name="2023" dataDxfId="131">
      <calculatedColumnFormula>'MENSUAL COMERCIALES'!B18-'MENSUAL COMERCIALES'!B7</calculatedColumnFormula>
    </tableColumn>
    <tableColumn id="3" xr3:uid="{D62DC73E-7E13-41CD-98FE-91F8C39549F5}" name="2024" dataDxfId="130">
      <calculatedColumnFormula>'MENSUAL COMERCIALES'!B29-'MENSUAL COMERCIALES'!B18</calculatedColumnFormula>
    </tableColumn>
    <tableColumn id="4" xr3:uid="{81F3F5FA-504A-4285-8B83-FF98753166A1}" name="2025" dataDxfId="129">
      <calculatedColumnFormula>'MENSUAL COMERCIALES'!B40-'MENSUAL COMERCIALES'!B29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827EE8F-9F6B-4F92-9CE0-CCBFEF61DEE4}" name="Tabla83363" displayName="Tabla83363" ref="A18:D30" totalsRowShown="0" headerRowDxfId="128" headerRowBorderDxfId="127" tableBorderDxfId="126">
  <autoFilter ref="A18:D30" xr:uid="{D827EE8F-9F6B-4F92-9CE0-CCBFEF61DEE4}"/>
  <tableColumns count="4">
    <tableColumn id="1" xr3:uid="{19404033-AC6C-416E-B8EC-0FA4A39A966A}" name="%"/>
    <tableColumn id="2" xr3:uid="{6EFD42EB-3C24-453C-86CD-831826785AAE}" name="2023" dataCellStyle="Porcentaje">
      <calculatedColumnFormula>('MENSUAL COMERCIALES'!B18-'MENSUAL COMERCIALES'!B7)/'MENSUAL COMERCIALES'!B7</calculatedColumnFormula>
    </tableColumn>
    <tableColumn id="3" xr3:uid="{3B71D457-5908-4DC7-9E0A-3CA5FC5D6000}" name="2024" dataDxfId="125" dataCellStyle="Porcentaje">
      <calculatedColumnFormula>('MENSUAL COMERCIALES'!B29-'MENSUAL COMERCIALES'!B18)/'MENSUAL COMERCIALES'!B18</calculatedColumnFormula>
    </tableColumn>
    <tableColumn id="4" xr3:uid="{513734AF-3F83-4B06-B026-86C58A7DF369}" name="2025" dataDxfId="124" dataCellStyle="Porcentaje">
      <calculatedColumnFormula>('MENSUAL COMERCIALES'!B40-'MENSUAL COMERCIALES'!B29)/'MENSUAL COMERCIALES'!B29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671E89E-D56B-4D5A-A70E-4B822F5674EF}" name="Tabla81026" displayName="Tabla81026" ref="F2:I14" totalsRowShown="0" headerRowDxfId="123" dataDxfId="121" headerRowBorderDxfId="122" tableBorderDxfId="120">
  <autoFilter ref="F2:I14" xr:uid="{9671E89E-D56B-4D5A-A70E-4B822F5674EF}"/>
  <tableColumns count="4">
    <tableColumn id="1" xr3:uid="{83218242-8C4A-40AC-8A44-82BFE3ADD4F5}" name="NUMÉRICO" dataDxfId="119"/>
    <tableColumn id="2" xr3:uid="{30E0ABEF-DEC1-4530-BD2F-8CAC5DD95D24}" name="2023" dataDxfId="118">
      <calculatedColumnFormula>'TRIMESTRAL COMERCIALES'!B18-'TRIMESTRAL COMERCIALES'!B7</calculatedColumnFormula>
    </tableColumn>
    <tableColumn id="3" xr3:uid="{5D309C67-0F3C-4050-8C14-0BE8AEE103C6}" name="2024" dataDxfId="117">
      <calculatedColumnFormula>'TRIMESTRAL COMERCIALES'!B29-'TRIMESTRAL COMERCIALES'!B18</calculatedColumnFormula>
    </tableColumn>
    <tableColumn id="4" xr3:uid="{D74BA7DE-CF89-4FB5-B573-10455B3E045A}" name="2025" dataDxfId="116">
      <calculatedColumnFormula>'TRIMESTRAL COMERCIALES'!B40-'TRIMESTRAL COMERCIALES'!B29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C71DCF1-899D-4F19-A758-F465C47F61D6}" name="Tabla81127" displayName="Tabla81127" ref="K2:N14" totalsRowShown="0" headerRowDxfId="115" dataDxfId="113" headerRowBorderDxfId="114" tableBorderDxfId="112">
  <autoFilter ref="K2:N14" xr:uid="{DC71DCF1-899D-4F19-A758-F465C47F61D6}"/>
  <tableColumns count="4">
    <tableColumn id="1" xr3:uid="{93ABC0D6-2016-49C3-B261-F50307C6D41E}" name="NUMÉRICO" dataDxfId="111"/>
    <tableColumn id="2" xr3:uid="{A5F77684-7231-4C51-8DE9-F5F6818229E0}" name="2023" dataDxfId="110">
      <calculatedColumnFormula>'ANUAL COMERCIALES'!C8-'ANUAL COMERCIALES'!B8</calculatedColumnFormula>
    </tableColumn>
    <tableColumn id="3" xr3:uid="{2EAEBE61-2B47-4C2D-BFB4-825DE5D2A106}" name="2024" dataDxfId="109">
      <calculatedColumnFormula>'ANUAL COMERCIALES'!D8-'ANUAL COMERCIALES'!C8</calculatedColumnFormula>
    </tableColumn>
    <tableColumn id="4" xr3:uid="{85133E73-E731-4843-9551-D70047C5DF9A}" name="2025" dataDxfId="108">
      <calculatedColumnFormula>'ANUAL COMERCIALES'!E8-'ANUAL COMERCIALES'!D8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BDA76FF-518B-4F57-A3E0-7F4AD2B8AA95}" name="Tabla8103428" displayName="Tabla8103428" ref="F18:I30" totalsRowShown="0" headerRowDxfId="107" headerRowBorderDxfId="106" tableBorderDxfId="105">
  <autoFilter ref="F18:I30" xr:uid="{0BDA76FF-518B-4F57-A3E0-7F4AD2B8AA95}"/>
  <tableColumns count="4">
    <tableColumn id="1" xr3:uid="{3CC12E0F-F279-4BD2-A854-5198119F860D}" name="%"/>
    <tableColumn id="2" xr3:uid="{5A3AD99B-4A08-4CEC-9231-B312761F1058}" name="2023" dataDxfId="104">
      <calculatedColumnFormula>('TRIMESTRAL COMERCIALES'!B18-'TRIMESTRAL COMERCIALES'!B7)/'TRIMESTRAL COMERCIALES'!B7</calculatedColumnFormula>
    </tableColumn>
    <tableColumn id="3" xr3:uid="{61D3A85C-30BE-4C0C-A279-B8DC10344FBE}" name="2024" dataDxfId="103">
      <calculatedColumnFormula>('TRIMESTRAL COMERCIALES'!B29-'TRIMESTRAL COMERCIALES'!B18)/'TRIMESTRAL COMERCIALES'!B18</calculatedColumnFormula>
    </tableColumn>
    <tableColumn id="4" xr3:uid="{C1006554-4100-465B-A099-65983052F03B}" name="2025" dataDxfId="102">
      <calculatedColumnFormula>('TRIMESTRAL COMERCIALES'!B40-'TRIMESTRAL COMERCIALES'!B29)/'TRIMESTRAL COMERCIALES'!B29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CD45439-A9B9-4C1A-B43E-961F3F6E5A8B}" name="Tabla8113529" displayName="Tabla8113529" ref="K18:N30" totalsRowShown="0" headerRowDxfId="101" headerRowBorderDxfId="100" tableBorderDxfId="99">
  <autoFilter ref="K18:N30" xr:uid="{6CD45439-A9B9-4C1A-B43E-961F3F6E5A8B}"/>
  <tableColumns count="4">
    <tableColumn id="1" xr3:uid="{F0C8B270-49FD-4BFE-9060-6F18B78AB058}" name="%"/>
    <tableColumn id="2" xr3:uid="{C726AA98-365A-4896-AF4B-E979619F2117}" name="2023" dataDxfId="98">
      <calculatedColumnFormula>('ANUAL COMERCIALES'!C3-'ANUAL COMERCIALES'!B3)/'ANUAL COMERCIALES'!B3</calculatedColumnFormula>
    </tableColumn>
    <tableColumn id="3" xr3:uid="{9122EA4E-D19C-4AA4-86DE-091F1A1E9260}" name="2024" dataDxfId="97">
      <calculatedColumnFormula>('ANUAL COMERCIALES'!D3-'ANUAL COMERCIALES'!C3)/'ANUAL COMERCIALES'!C3</calculatedColumnFormula>
    </tableColumn>
    <tableColumn id="4" xr3:uid="{336BB4A2-62B8-4CE6-A3D1-5919CA741BB7}" name="2025" dataDxfId="96">
      <calculatedColumnFormula>('ANUAL COMERCIALES'!E8-'ANUAL COMERCIALES'!D8)/'ANUAL COMERCIALES'!D8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80E7DB4-9FFD-4979-A595-7DB42087E5EB}" name="Tabla866" displayName="Tabla866" ref="A2:D14" totalsRowShown="0" headerRowDxfId="95" dataDxfId="93" headerRowBorderDxfId="94" tableBorderDxfId="92">
  <autoFilter ref="A2:D14" xr:uid="{B80E7DB4-9FFD-4979-A595-7DB42087E5EB}"/>
  <tableColumns count="4">
    <tableColumn id="1" xr3:uid="{72004533-E425-4F30-95C8-455FA4D27413}" name="NUMÉRICO" dataDxfId="91"/>
    <tableColumn id="2" xr3:uid="{689606B1-A36F-47FD-9792-00BD2E8777D6}" name="2023" dataDxfId="90">
      <calculatedColumnFormula>'MENSUAL COMERCIALES'!B19-'MENSUAL COMERCIALES'!B8</calculatedColumnFormula>
    </tableColumn>
    <tableColumn id="3" xr3:uid="{5DBBE3B1-AFCC-4A3B-B240-4CF79E22A843}" name="2024" dataDxfId="89">
      <calculatedColumnFormula>'MENSUAL COMERCIALES'!B30-'MENSUAL COMERCIALES'!B19</calculatedColumnFormula>
    </tableColumn>
    <tableColumn id="4" xr3:uid="{95AA6506-B9C0-4E92-946D-147DB2D2F376}" name="2025" dataDxfId="88">
      <calculatedColumnFormula>'MENSUAL COMERCIALES'!B41-'MENSUAL COMERCIALES'!B30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0ACD377-A74E-41BD-82DD-F99F97FDE679}" name="Tabla83369" displayName="Tabla83369" ref="A18:D30" totalsRowShown="0" headerRowDxfId="87" dataDxfId="85" headerRowBorderDxfId="86" tableBorderDxfId="84">
  <autoFilter ref="A18:D30" xr:uid="{90ACD377-A74E-41BD-82DD-F99F97FDE679}"/>
  <tableColumns count="4">
    <tableColumn id="1" xr3:uid="{5169D8F6-CB14-4107-8A27-CFFD05E3C783}" name="%" dataDxfId="83"/>
    <tableColumn id="2" xr3:uid="{4B953C26-0097-4432-A94B-AF49CA3B7D92}" name="2023" dataDxfId="82" dataCellStyle="Porcentaje">
      <calculatedColumnFormula>('MENSUAL COMERCIALES'!B19-'MENSUAL COMERCIALES'!B8)/'MENSUAL COMERCIALES'!B8</calculatedColumnFormula>
    </tableColumn>
    <tableColumn id="3" xr3:uid="{03CD2E56-4C8F-44F1-B203-99CC020FFDB9}" name="2024" dataDxfId="81" dataCellStyle="Porcentaje">
      <calculatedColumnFormula>('MENSUAL COMERCIALES'!B30-'MENSUAL COMERCIALES'!B19)/'MENSUAL COMERCIALES'!B19</calculatedColumnFormula>
    </tableColumn>
    <tableColumn id="4" xr3:uid="{A23D47B4-9455-4ACD-B990-81D72E9FBF6F}" name="2025" dataDxfId="80" dataCellStyle="Porcentaje">
      <calculatedColumnFormula>('MENSUAL COMERCIALES'!B41-'MENSUAL COMERCIALES'!B30)/'MENSUAL COMERCIALES'!B30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27D1ACD-B336-4254-887B-08A18264E7CB}" name="Tabla81030" displayName="Tabla81030" ref="F2:I14" totalsRowShown="0" headerRowDxfId="79" dataDxfId="77" headerRowBorderDxfId="78" tableBorderDxfId="76">
  <autoFilter ref="F2:I14" xr:uid="{827D1ACD-B336-4254-887B-08A18264E7CB}"/>
  <tableColumns count="4">
    <tableColumn id="1" xr3:uid="{B18DFF30-4627-4DE1-84C9-68E83D3D670D}" name="NUMÉRICO" dataDxfId="75"/>
    <tableColumn id="2" xr3:uid="{04209DFB-EA84-41C5-8A73-181875F35789}" name="2023" dataDxfId="74">
      <calculatedColumnFormula>'TRIMESTRAL COMERCIALES'!B19-'TRIMESTRAL COMERCIALES'!B8</calculatedColumnFormula>
    </tableColumn>
    <tableColumn id="3" xr3:uid="{A4641A7A-B070-43CD-8065-B93E7C364DC7}" name="2024" dataDxfId="73">
      <calculatedColumnFormula>'TRIMESTRAL COMERCIALES'!B30-'TRIMESTRAL COMERCIALES'!B19</calculatedColumnFormula>
    </tableColumn>
    <tableColumn id="4" xr3:uid="{94C6189F-75CF-4C98-8379-F8D1A9C9CE97}" name="2025" dataDxfId="72">
      <calculatedColumnFormula>'TRIMESTRAL COMERCIALES'!B41-'TRIMESTRAL COMERCIALES'!B30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2F7D138-3368-4ED6-8B9E-416D579DB955}" name="Tabla81131" displayName="Tabla81131" ref="K2:N14" totalsRowShown="0" headerRowDxfId="71" dataDxfId="69" headerRowBorderDxfId="70" tableBorderDxfId="68">
  <autoFilter ref="K2:N14" xr:uid="{12F7D138-3368-4ED6-8B9E-416D579DB955}"/>
  <tableColumns count="4">
    <tableColumn id="1" xr3:uid="{635F1076-77E5-4816-80FA-ABB44089420A}" name="NUMÉRICO" dataDxfId="67"/>
    <tableColumn id="2" xr3:uid="{7333E8DA-D3C5-4789-AC58-8CE00FD3F2B7}" name="2023" dataDxfId="66">
      <calculatedColumnFormula>'ANUAL COMERCIALES'!C9-'ANUAL COMERCIALES'!B9</calculatedColumnFormula>
    </tableColumn>
    <tableColumn id="3" xr3:uid="{3A5E4681-7FA1-49C4-A239-B1D4A6087F3B}" name="2024" dataDxfId="65">
      <calculatedColumnFormula>Tabla1[[#This Row],[2024]]-Tabla1[[#This Row],[2023]]</calculatedColumnFormula>
    </tableColumn>
    <tableColumn id="4" xr3:uid="{2F2162C4-6567-4C14-AAD7-15CBB8517BCB}" name="2025" dataDxfId="64">
      <calculatedColumnFormula>Tabla1[[#This Row],[2025]]-Tabla1[[#This Row],[2024]]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6F86527-0CBC-42E5-99EE-F92C2B6384CB}" name="Tabla8103432" displayName="Tabla8103432" ref="F18:I30" totalsRowShown="0" headerRowDxfId="63" dataDxfId="61" headerRowBorderDxfId="62" tableBorderDxfId="60">
  <autoFilter ref="F18:I30" xr:uid="{66F86527-0CBC-42E5-99EE-F92C2B6384CB}"/>
  <tableColumns count="4">
    <tableColumn id="1" xr3:uid="{7AD8E124-B665-4B37-B608-DE1BF57B8600}" name="%" dataDxfId="59"/>
    <tableColumn id="2" xr3:uid="{A4BEBD83-489C-4C25-914F-E0E9CFC4BBA0}" name="2023" dataDxfId="58">
      <calculatedColumnFormula>('TRIMESTRAL COMERCIALES'!B19-'TRIMESTRAL COMERCIALES'!B8)/'TRIMESTRAL COMERCIALES'!B8</calculatedColumnFormula>
    </tableColumn>
    <tableColumn id="3" xr3:uid="{063209B6-B46D-4E7B-A418-846F95D733EB}" name="2024" dataDxfId="57">
      <calculatedColumnFormula>('TRIMESTRAL COMERCIALES'!B30-'TRIMESTRAL COMERCIALES'!B19)/'TRIMESTRAL COMERCIALES'!B19</calculatedColumnFormula>
    </tableColumn>
    <tableColumn id="4" xr3:uid="{F5A4F8DB-C8DD-4C10-9D77-F79D36FCF1D1}" name="2025" dataDxfId="56">
      <calculatedColumnFormula>('TRIMESTRAL COMERCIALES'!B41-'TRIMESTRAL COMERCIALES'!B30)/'TRIMESTRAL COMERCIALES'!B30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3397945-A153-43F6-843D-BDB747ED94BB}" name="Tabla8113537" displayName="Tabla8113537" ref="K18:N30" totalsRowShown="0" headerRowDxfId="55" dataDxfId="53" headerRowBorderDxfId="54" tableBorderDxfId="52">
  <autoFilter ref="K18:N30" xr:uid="{13397945-A153-43F6-843D-BDB747ED94BB}"/>
  <tableColumns count="4">
    <tableColumn id="1" xr3:uid="{C29AC8CE-98D0-4D01-84F2-B7E6D91EFCF8}" name="%" dataDxfId="51"/>
    <tableColumn id="2" xr3:uid="{04CDF38F-F812-4E82-9351-3E8C841F9903}" name="2023" dataDxfId="50">
      <calculatedColumnFormula>'ANUAL COMERCIALES'!C9-'ANUAL COMERCIALES'!B9</calculatedColumnFormula>
    </tableColumn>
    <tableColumn id="3" xr3:uid="{FDC259FF-EDA7-4474-BB70-6A80F0DA88A5}" name="2024" dataDxfId="49">
      <calculatedColumnFormula>('ANUAL COMERCIALES'!D9-'ANUAL COMERCIALES'!C9)/'ANUAL COMERCIALES'!C9</calculatedColumnFormula>
    </tableColumn>
    <tableColumn id="4" xr3:uid="{27CE9AF1-BEC9-4944-94D8-7CEAEFD27FA5}" name="2025" dataDxfId="48">
      <calculatedColumnFormula>('ANUAL COMERCIALES'!E9-'ANUAL COMERCIALES'!D9)/'ANUAL COMERCIALES'!D9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1B6A435-7C86-4F7E-8690-556CA63E39B4}" name="Tabla884" displayName="Tabla884" ref="A2:D14" totalsRowShown="0" headerRowDxfId="47" dataDxfId="45" headerRowBorderDxfId="46" tableBorderDxfId="44">
  <autoFilter ref="A2:D14" xr:uid="{E1B6A435-7C86-4F7E-8690-556CA63E39B4}"/>
  <tableColumns count="4">
    <tableColumn id="1" xr3:uid="{C5F8610C-67C5-430D-AE3B-D67F8D01CF3E}" name="NUMÉRICO" dataDxfId="43"/>
    <tableColumn id="2" xr3:uid="{54BCD189-FE91-4BC1-9813-1B8D810E9F15}" name="2023" dataDxfId="42">
      <calculatedColumnFormula>'MENSUAL COMERCIALES'!B20-'MENSUAL COMERCIALES'!B9</calculatedColumnFormula>
    </tableColumn>
    <tableColumn id="3" xr3:uid="{4636DFD4-5874-4C50-A283-BF7C5410F3CF}" name="2024" dataDxfId="41">
      <calculatedColumnFormula>'MENSUAL COMERCIALES'!B31-'MENSUAL COMERCIALES'!B20</calculatedColumnFormula>
    </tableColumn>
    <tableColumn id="4" xr3:uid="{DB266DA8-8535-4BCE-9F44-7BCFFCD9FB8E}" name="2025" dataDxfId="40">
      <calculatedColumnFormula>'MENSUAL COMERCIALES'!B42-'MENSUAL COMERCIALES'!B31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102A7529-CF3A-426E-8086-D0219D1A0BA1}" name="Tabla83387" displayName="Tabla83387" ref="A18:D30" totalsRowShown="0" headerRowDxfId="39" dataDxfId="37" headerRowBorderDxfId="38" tableBorderDxfId="36">
  <autoFilter ref="A18:D30" xr:uid="{102A7529-CF3A-426E-8086-D0219D1A0BA1}"/>
  <tableColumns count="4">
    <tableColumn id="1" xr3:uid="{8A7ACC52-0691-4ADF-8442-42CF12E8C328}" name="%" dataDxfId="35"/>
    <tableColumn id="2" xr3:uid="{19117BAF-61F6-49FA-B8ED-FB64574F832F}" name="2023" dataDxfId="34" dataCellStyle="Porcentaje"/>
    <tableColumn id="3" xr3:uid="{63377E6D-2661-48FF-AD48-AF616DE9A4AD}" name="2024" dataDxfId="33" dataCellStyle="Porcentaje">
      <calculatedColumnFormula>('MENSUAL COMERCIALES'!B31-'MENSUAL COMERCIALES'!B20)/1</calculatedColumnFormula>
    </tableColumn>
    <tableColumn id="4" xr3:uid="{D2E67D9D-4328-42F7-9FEE-81CF92F71017}" name="2025" dataDxfId="32" dataCellStyle="Porcentaje">
      <calculatedColumnFormula>('MENSUAL COMERCIALES'!B42-'MENSUAL COMERCIALES'!B31)/1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47DDF1C-1688-44BD-8397-B5A49373730B}" name="Tabla81038" displayName="Tabla81038" ref="F2:I14" totalsRowShown="0" headerRowDxfId="31" dataDxfId="29" headerRowBorderDxfId="30" tableBorderDxfId="28">
  <autoFilter ref="F2:I14" xr:uid="{647DDF1C-1688-44BD-8397-B5A49373730B}"/>
  <tableColumns count="4">
    <tableColumn id="1" xr3:uid="{54441DC8-9C49-4008-A083-CB33FAE2FE3D}" name="NUMÉRICO" dataDxfId="27"/>
    <tableColumn id="2" xr3:uid="{D3F0EA4B-F982-469A-B0DB-9C52072A7F79}" name="2023" dataDxfId="26">
      <calculatedColumnFormula>'TRIMESTRAL COMERCIALES'!B13-'TRIMESTRAL COMERCIALES'!B2</calculatedColumnFormula>
    </tableColumn>
    <tableColumn id="3" xr3:uid="{DB162390-D29B-4CEE-B099-E22788CF9331}" name="2024" dataDxfId="25">
      <calculatedColumnFormula>'TRIMESTRAL COMERCIALES'!B31-'TRIMESTRAL COMERCIALES'!B20</calculatedColumnFormula>
    </tableColumn>
    <tableColumn id="4" xr3:uid="{B1F30F1F-9ED0-4EFA-B049-7B37AC3BA9AA}" name="2025" dataDxfId="24">
      <calculatedColumnFormula>'TRIMESTRAL COMERCIALES'!B42-'TRIMESTRAL COMERCIALES'!B31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3820202-62DB-4C1C-8B1A-6639E330FF86}" name="Tabla81140" displayName="Tabla81140" ref="K2:N14" totalsRowShown="0" headerRowDxfId="23" dataDxfId="21" headerRowBorderDxfId="22" tableBorderDxfId="20">
  <autoFilter ref="K2:N14" xr:uid="{33820202-62DB-4C1C-8B1A-6639E330FF86}"/>
  <tableColumns count="4">
    <tableColumn id="1" xr3:uid="{524A054A-EF2F-4876-8F21-E214FC3AEA2C}" name="NUMÉRICO" dataDxfId="19"/>
    <tableColumn id="2" xr3:uid="{105A0B8C-0D28-4114-9123-8C4591BB7B8F}" name="2023" dataDxfId="18">
      <calculatedColumnFormula>Tabla1[[#This Row],[2023]]-Tabla1[[#This Row],[2022]]</calculatedColumnFormula>
    </tableColumn>
    <tableColumn id="3" xr3:uid="{2812F140-CB77-4A0E-B1D6-0A90A3268AFA}" name="2024" dataDxfId="17">
      <calculatedColumnFormula>'ANUAL COMERCIALES'!D10-'ANUAL COMERCIALES'!C10</calculatedColumnFormula>
    </tableColumn>
    <tableColumn id="4" xr3:uid="{5007780C-882B-4A25-A287-87FDF74CB0AB}" name="2025" dataDxfId="16">
      <calculatedColumnFormula>Tabla1[[#This Row],[2025]]-Tabla1[[#This Row],[2024]]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581E235-FF67-44C1-8AFC-73BFF3B642C5}" name="Tabla8103441" displayName="Tabla8103441" ref="F18:I30" totalsRowShown="0" headerRowDxfId="15" dataDxfId="13" headerRowBorderDxfId="14" tableBorderDxfId="12">
  <autoFilter ref="F18:I30" xr:uid="{C581E235-FF67-44C1-8AFC-73BFF3B642C5}"/>
  <tableColumns count="4">
    <tableColumn id="1" xr3:uid="{FCC35567-880A-4D3E-A5B4-7158B4977FA7}" name="%" dataDxfId="11"/>
    <tableColumn id="2" xr3:uid="{4E5CABA4-9A7A-456A-8538-D16A7BC63681}" name="2023" dataDxfId="10">
      <calculatedColumnFormula>('TRIMESTRAL COMERCIALES'!B13-'TRIMESTRAL COMERCIALES'!B2)/'TRIMESTRAL COMERCIALES'!B2</calculatedColumnFormula>
    </tableColumn>
    <tableColumn id="3" xr3:uid="{9D45BE49-281A-4B8C-BE90-F9C7E2CAF96F}" name="2024" dataDxfId="9">
      <calculatedColumnFormula>('TRIMESTRAL COMERCIALES'!B31-'TRIMESTRAL COMERCIALES'!B20)/1</calculatedColumnFormula>
    </tableColumn>
    <tableColumn id="4" xr3:uid="{26AED578-D9F7-4522-873E-9274EB4CAAE6}" name="2025" dataDxfId="8">
      <calculatedColumnFormula>('TRIMESTRAL COMERCIALES'!B42-'TRIMESTRAL COMERCIALES'!B31)/'TRIMESTRAL COMERCIALES'!B31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B4D2493-C006-4FD2-B7CD-6C8523ED1BF4}" name="Tabla8113543" displayName="Tabla8113543" ref="K18:N30" totalsRowShown="0" headerRowDxfId="7" dataDxfId="5" headerRowBorderDxfId="6" tableBorderDxfId="4">
  <autoFilter ref="K18:N30" xr:uid="{AB4D2493-C006-4FD2-B7CD-6C8523ED1BF4}"/>
  <tableColumns count="4">
    <tableColumn id="1" xr3:uid="{8F6869FE-00D8-4B43-9B57-F7F5C250F4DE}" name="%" dataDxfId="3"/>
    <tableColumn id="2" xr3:uid="{DD5E499D-41BD-4E05-A452-AB4913038246}" name="2023" dataDxfId="2">
      <calculatedColumnFormula>('ANUAL COMERCIALES'!C3-'ANUAL COMERCIALES'!B3)/'ANUAL COMERCIALES'!B3</calculatedColumnFormula>
    </tableColumn>
    <tableColumn id="3" xr3:uid="{7A00F1DE-2D06-406C-8077-4BCB7313EB35}" name="2024" dataDxfId="1">
      <calculatedColumnFormula>('ANUAL COMERCIALES'!D10-'ANUAL COMERCIALES'!C10)/1</calculatedColumnFormula>
    </tableColumn>
    <tableColumn id="4" xr3:uid="{F0C4E6AE-87DC-45CB-B39F-3E62099E9599}" name="2025" dataDxfId="0">
      <calculatedColumnFormula>('ANUAL COMERCIALES'!E10-'ANUAL COMERCIALES'!D10)/'ANUAL COMERCIALES'!D10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drawing" Target="../drawings/drawing8.xm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drawing" Target="../drawings/drawing9.xml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drawing" Target="../drawings/drawing10.xm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2" Type="http://schemas.openxmlformats.org/officeDocument/2006/relationships/table" Target="../tables/table40.xml"/><Relationship Id="rId1" Type="http://schemas.openxmlformats.org/officeDocument/2006/relationships/drawing" Target="../drawings/drawing11.xml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7" Type="http://schemas.openxmlformats.org/officeDocument/2006/relationships/table" Target="../tables/table51.xml"/><Relationship Id="rId2" Type="http://schemas.openxmlformats.org/officeDocument/2006/relationships/table" Target="../tables/table46.xml"/><Relationship Id="rId1" Type="http://schemas.openxmlformats.org/officeDocument/2006/relationships/drawing" Target="../drawings/drawing12.xml"/><Relationship Id="rId6" Type="http://schemas.openxmlformats.org/officeDocument/2006/relationships/table" Target="../tables/table50.xml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9E90-901F-46A3-BC8F-79886DA6FA29}">
  <dimension ref="A1:N59"/>
  <sheetViews>
    <sheetView tabSelected="1" topLeftCell="A34" zoomScale="80" zoomScaleNormal="80" workbookViewId="0">
      <selection activeCell="I57" sqref="I57"/>
    </sheetView>
  </sheetViews>
  <sheetFormatPr baseColWidth="10" defaultColWidth="11.42578125" defaultRowHeight="15" x14ac:dyDescent="0.25"/>
  <cols>
    <col min="1" max="1" width="14.42578125" bestFit="1" customWidth="1"/>
    <col min="2" max="2" width="16.42578125" customWidth="1"/>
    <col min="3" max="3" width="16" customWidth="1"/>
    <col min="4" max="4" width="17" customWidth="1"/>
    <col min="5" max="5" width="17.140625" customWidth="1"/>
    <col min="6" max="6" width="17" customWidth="1"/>
    <col min="7" max="7" width="17.28515625" customWidth="1"/>
    <col min="8" max="8" width="19.140625" customWidth="1"/>
    <col min="9" max="9" width="17.85546875" customWidth="1"/>
    <col min="10" max="10" width="14.42578125" customWidth="1"/>
    <col min="11" max="11" width="15.85546875" customWidth="1"/>
    <col min="12" max="12" width="20.140625" customWidth="1"/>
    <col min="13" max="13" width="13.42578125" customWidth="1"/>
    <col min="14" max="14" width="15.140625" customWidth="1"/>
    <col min="15" max="15" width="14.7109375" customWidth="1"/>
    <col min="16" max="16" width="13.42578125" customWidth="1"/>
    <col min="17" max="17" width="10.5703125" customWidth="1"/>
    <col min="18" max="18" width="11.7109375" customWidth="1"/>
    <col min="19" max="19" width="10.28515625" customWidth="1"/>
    <col min="20" max="20" width="12.42578125" customWidth="1"/>
    <col min="21" max="21" width="10.7109375" customWidth="1"/>
    <col min="22" max="22" width="34.42578125" customWidth="1"/>
    <col min="26" max="26" width="34.28515625" customWidth="1"/>
    <col min="27" max="29" width="34.42578125" customWidth="1"/>
    <col min="30" max="30" width="34.140625" customWidth="1"/>
    <col min="31" max="31" width="34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36</v>
      </c>
    </row>
    <row r="2" spans="1:14" x14ac:dyDescent="0.25">
      <c r="A2" t="s">
        <v>13</v>
      </c>
      <c r="B2" s="4">
        <v>51210</v>
      </c>
      <c r="C2" s="4">
        <v>107519</v>
      </c>
      <c r="D2" s="4">
        <v>57374</v>
      </c>
      <c r="E2" s="4">
        <v>43867</v>
      </c>
      <c r="F2" s="4">
        <v>29904</v>
      </c>
      <c r="G2" s="4">
        <v>43063</v>
      </c>
      <c r="H2" s="4">
        <v>53987</v>
      </c>
      <c r="I2" s="4">
        <v>23982</v>
      </c>
      <c r="J2" s="4">
        <v>25568</v>
      </c>
      <c r="K2" s="4">
        <v>39619</v>
      </c>
      <c r="L2" s="4">
        <v>34588</v>
      </c>
      <c r="M2" s="4">
        <v>22344</v>
      </c>
      <c r="N2" s="4">
        <f t="shared" ref="N2:N43" si="0">+SUM(B2:M2)</f>
        <v>533025</v>
      </c>
    </row>
    <row r="3" spans="1:14" x14ac:dyDescent="0.25">
      <c r="A3" t="s">
        <v>14</v>
      </c>
      <c r="B3" s="4">
        <v>2236</v>
      </c>
      <c r="C3" s="4">
        <v>14216</v>
      </c>
      <c r="D3" s="4">
        <v>9311</v>
      </c>
      <c r="E3" s="4">
        <v>7327</v>
      </c>
      <c r="F3" s="4">
        <v>5195</v>
      </c>
      <c r="G3" s="4">
        <v>3760</v>
      </c>
      <c r="H3" s="4">
        <v>9068</v>
      </c>
      <c r="I3" s="4">
        <v>1877</v>
      </c>
      <c r="J3" s="4">
        <v>4952</v>
      </c>
      <c r="K3" s="4">
        <v>6898</v>
      </c>
      <c r="L3" s="4">
        <v>5047</v>
      </c>
      <c r="M3" s="4">
        <v>3261</v>
      </c>
      <c r="N3" s="4">
        <f t="shared" si="0"/>
        <v>73148</v>
      </c>
    </row>
    <row r="4" spans="1:14" x14ac:dyDescent="0.25">
      <c r="A4" t="s">
        <v>15</v>
      </c>
      <c r="B4" s="4">
        <v>0</v>
      </c>
      <c r="C4" s="4">
        <v>2492</v>
      </c>
      <c r="D4" s="4">
        <v>14185</v>
      </c>
      <c r="E4" s="4">
        <v>3790</v>
      </c>
      <c r="F4" s="4">
        <v>2576</v>
      </c>
      <c r="G4" s="4">
        <v>4993</v>
      </c>
      <c r="H4" s="4">
        <v>2079</v>
      </c>
      <c r="I4" s="4">
        <v>3586</v>
      </c>
      <c r="J4" s="4">
        <v>8925</v>
      </c>
      <c r="K4" s="4">
        <v>7024</v>
      </c>
      <c r="L4" s="4">
        <v>2198</v>
      </c>
      <c r="M4" s="4">
        <v>502</v>
      </c>
      <c r="N4" s="4">
        <f t="shared" si="0"/>
        <v>52350</v>
      </c>
    </row>
    <row r="5" spans="1:14" x14ac:dyDescent="0.25">
      <c r="A5" t="s">
        <v>16</v>
      </c>
      <c r="B5" s="4">
        <v>796</v>
      </c>
      <c r="C5" s="4">
        <v>19059</v>
      </c>
      <c r="D5" s="4">
        <v>16552</v>
      </c>
      <c r="E5" s="4">
        <v>6899</v>
      </c>
      <c r="F5" s="4">
        <v>24952</v>
      </c>
      <c r="G5" s="4">
        <v>7879</v>
      </c>
      <c r="H5" s="4">
        <v>13434</v>
      </c>
      <c r="I5" s="4">
        <v>13940</v>
      </c>
      <c r="J5" s="4">
        <v>4492</v>
      </c>
      <c r="K5" s="4">
        <v>15225</v>
      </c>
      <c r="L5" s="4">
        <v>13743</v>
      </c>
      <c r="M5" s="4">
        <v>7806</v>
      </c>
      <c r="N5" s="4">
        <f t="shared" si="0"/>
        <v>144777</v>
      </c>
    </row>
    <row r="6" spans="1:14" x14ac:dyDescent="0.25">
      <c r="A6" t="s">
        <v>17</v>
      </c>
      <c r="B6" s="4">
        <v>3535</v>
      </c>
      <c r="C6" s="4">
        <v>32480</v>
      </c>
      <c r="D6" s="4">
        <v>5674</v>
      </c>
      <c r="E6" s="4">
        <v>22212</v>
      </c>
      <c r="F6" s="4">
        <v>9723</v>
      </c>
      <c r="G6" s="4">
        <v>23041</v>
      </c>
      <c r="H6" s="4">
        <v>9672</v>
      </c>
      <c r="I6" s="4">
        <v>4463</v>
      </c>
      <c r="J6" s="4">
        <v>18975</v>
      </c>
      <c r="K6" s="4">
        <v>23585</v>
      </c>
      <c r="L6" s="4">
        <v>14178</v>
      </c>
      <c r="M6" s="4">
        <v>1743</v>
      </c>
      <c r="N6" s="4">
        <f t="shared" si="0"/>
        <v>169281</v>
      </c>
    </row>
    <row r="7" spans="1:14" x14ac:dyDescent="0.25">
      <c r="A7" t="s">
        <v>18</v>
      </c>
      <c r="B7" s="4">
        <v>8066</v>
      </c>
      <c r="C7" s="4">
        <v>13909</v>
      </c>
      <c r="D7" s="4">
        <v>7463</v>
      </c>
      <c r="E7" s="4">
        <v>11229</v>
      </c>
      <c r="F7" s="4">
        <v>9383</v>
      </c>
      <c r="G7" s="4">
        <v>5668</v>
      </c>
      <c r="H7" s="4">
        <v>2258</v>
      </c>
      <c r="I7" s="4">
        <v>5140</v>
      </c>
      <c r="J7" s="4">
        <v>8405</v>
      </c>
      <c r="K7" s="4">
        <v>5159</v>
      </c>
      <c r="L7" s="4">
        <v>3165</v>
      </c>
      <c r="M7" s="4">
        <v>0</v>
      </c>
      <c r="N7" s="4">
        <f t="shared" si="0"/>
        <v>79845</v>
      </c>
    </row>
    <row r="8" spans="1:14" x14ac:dyDescent="0.25">
      <c r="A8" t="s">
        <v>19</v>
      </c>
      <c r="B8" s="4">
        <v>4991</v>
      </c>
      <c r="C8" s="4">
        <v>34922</v>
      </c>
      <c r="D8" s="4">
        <v>34129</v>
      </c>
      <c r="E8" s="4">
        <v>11765</v>
      </c>
      <c r="F8" s="4">
        <v>24961</v>
      </c>
      <c r="G8" s="4">
        <v>7694</v>
      </c>
      <c r="H8" s="4">
        <v>15925</v>
      </c>
      <c r="I8" s="4">
        <v>5270</v>
      </c>
      <c r="J8" s="4">
        <v>5923</v>
      </c>
      <c r="K8" s="4">
        <v>12731</v>
      </c>
      <c r="L8" s="4">
        <v>11452</v>
      </c>
      <c r="M8" s="4">
        <v>10768</v>
      </c>
      <c r="N8" s="4">
        <f t="shared" si="0"/>
        <v>180531</v>
      </c>
    </row>
    <row r="9" spans="1:14" x14ac:dyDescent="0.25">
      <c r="A9" t="s">
        <v>20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f t="shared" si="0"/>
        <v>0</v>
      </c>
    </row>
    <row r="10" spans="1:14" x14ac:dyDescent="0.25">
      <c r="B10" s="8"/>
      <c r="C10" s="8"/>
      <c r="D10" s="8"/>
      <c r="E10" s="8"/>
      <c r="F10" s="8"/>
      <c r="G10" s="8"/>
      <c r="H10" s="8"/>
      <c r="I10" s="8"/>
      <c r="J10" s="8"/>
      <c r="K10" s="4"/>
      <c r="L10" s="4"/>
      <c r="M10" s="4"/>
      <c r="N10" s="4">
        <f t="shared" si="0"/>
        <v>0</v>
      </c>
    </row>
    <row r="11" spans="1:14" x14ac:dyDescent="0.25">
      <c r="B11" s="8"/>
      <c r="C11" s="8"/>
      <c r="D11" s="8"/>
      <c r="E11" s="8"/>
      <c r="F11" s="8"/>
      <c r="G11" s="8"/>
      <c r="H11" s="8"/>
      <c r="I11" s="8"/>
      <c r="J11" s="8"/>
      <c r="K11" s="4"/>
      <c r="L11" s="4"/>
      <c r="M11" s="4"/>
      <c r="N11" s="4">
        <f t="shared" si="0"/>
        <v>0</v>
      </c>
    </row>
    <row r="12" spans="1:14" x14ac:dyDescent="0.25">
      <c r="A12" s="1">
        <v>2023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3" t="s">
        <v>10</v>
      </c>
      <c r="L12" s="3" t="s">
        <v>11</v>
      </c>
      <c r="M12" s="3" t="s">
        <v>12</v>
      </c>
      <c r="N12" s="4">
        <f t="shared" si="0"/>
        <v>0</v>
      </c>
    </row>
    <row r="13" spans="1:14" x14ac:dyDescent="0.25">
      <c r="A13" t="s">
        <v>13</v>
      </c>
      <c r="B13" s="4">
        <v>48832</v>
      </c>
      <c r="C13" s="4">
        <v>24511</v>
      </c>
      <c r="D13" s="4">
        <v>58251</v>
      </c>
      <c r="E13" s="4">
        <v>16659</v>
      </c>
      <c r="F13" s="4">
        <v>42496</v>
      </c>
      <c r="G13" s="4">
        <v>16329</v>
      </c>
      <c r="H13" s="4">
        <v>34824</v>
      </c>
      <c r="I13" s="4">
        <v>13051</v>
      </c>
      <c r="J13" s="4">
        <v>47088</v>
      </c>
      <c r="K13" s="4">
        <v>41185</v>
      </c>
      <c r="L13" s="4">
        <v>35806</v>
      </c>
      <c r="M13" s="4">
        <v>20392</v>
      </c>
      <c r="N13" s="4">
        <f t="shared" si="0"/>
        <v>399424</v>
      </c>
    </row>
    <row r="14" spans="1:14" x14ac:dyDescent="0.25">
      <c r="A14" t="s">
        <v>14</v>
      </c>
      <c r="B14" s="4">
        <v>3555</v>
      </c>
      <c r="C14" s="4">
        <v>2593</v>
      </c>
      <c r="D14" s="4">
        <v>15516</v>
      </c>
      <c r="E14" s="4">
        <v>1042</v>
      </c>
      <c r="F14" s="4">
        <v>5783</v>
      </c>
      <c r="G14" s="4">
        <v>12142</v>
      </c>
      <c r="H14" s="4">
        <v>2961</v>
      </c>
      <c r="I14" s="4">
        <v>2382</v>
      </c>
      <c r="J14" s="4">
        <v>4453</v>
      </c>
      <c r="K14" s="4">
        <v>5684</v>
      </c>
      <c r="L14" s="4">
        <v>6903</v>
      </c>
      <c r="M14" s="4">
        <v>7989</v>
      </c>
      <c r="N14" s="4">
        <f t="shared" si="0"/>
        <v>71003</v>
      </c>
    </row>
    <row r="15" spans="1:14" x14ac:dyDescent="0.25">
      <c r="A15" t="s">
        <v>15</v>
      </c>
      <c r="B15" s="4">
        <v>7602</v>
      </c>
      <c r="C15" s="4">
        <v>963</v>
      </c>
      <c r="D15" s="4">
        <v>10400</v>
      </c>
      <c r="E15" s="4">
        <v>0</v>
      </c>
      <c r="F15" s="4">
        <v>1701</v>
      </c>
      <c r="G15" s="4">
        <v>1510</v>
      </c>
      <c r="H15" s="4">
        <v>3822</v>
      </c>
      <c r="I15" s="4">
        <v>1378</v>
      </c>
      <c r="J15" s="4">
        <v>4637</v>
      </c>
      <c r="K15" s="4">
        <v>838</v>
      </c>
      <c r="L15" s="4">
        <v>15019</v>
      </c>
      <c r="M15" s="4">
        <v>11752</v>
      </c>
      <c r="N15" s="4">
        <f t="shared" si="0"/>
        <v>59622</v>
      </c>
    </row>
    <row r="16" spans="1:14" x14ac:dyDescent="0.25">
      <c r="A16" t="s">
        <v>16</v>
      </c>
      <c r="B16" s="4">
        <v>13590</v>
      </c>
      <c r="C16" s="4">
        <v>6341</v>
      </c>
      <c r="D16" s="4">
        <v>16428</v>
      </c>
      <c r="E16" s="4">
        <v>2430</v>
      </c>
      <c r="F16" s="4">
        <v>7017</v>
      </c>
      <c r="G16" s="4">
        <v>4760</v>
      </c>
      <c r="H16" s="4">
        <v>2338</v>
      </c>
      <c r="I16" s="4">
        <v>17534</v>
      </c>
      <c r="J16" s="4">
        <v>8900</v>
      </c>
      <c r="K16" s="4">
        <v>10613</v>
      </c>
      <c r="L16" s="4">
        <v>7931</v>
      </c>
      <c r="M16" s="4">
        <v>6701</v>
      </c>
      <c r="N16" s="4">
        <f t="shared" si="0"/>
        <v>104583</v>
      </c>
    </row>
    <row r="17" spans="1:14" x14ac:dyDescent="0.25">
      <c r="A17" t="s">
        <v>17</v>
      </c>
      <c r="B17" s="4">
        <v>30213</v>
      </c>
      <c r="C17" s="4">
        <v>17859</v>
      </c>
      <c r="D17" s="4">
        <v>15798</v>
      </c>
      <c r="E17" s="4">
        <v>14472</v>
      </c>
      <c r="F17" s="4">
        <v>7832</v>
      </c>
      <c r="G17" s="4">
        <v>8595</v>
      </c>
      <c r="H17" s="4">
        <v>10475</v>
      </c>
      <c r="I17" s="4">
        <v>11027</v>
      </c>
      <c r="J17" s="4">
        <v>18932</v>
      </c>
      <c r="K17" s="4">
        <v>17110</v>
      </c>
      <c r="L17" s="4">
        <v>9368</v>
      </c>
      <c r="M17" s="4">
        <v>6758</v>
      </c>
      <c r="N17" s="4">
        <f t="shared" si="0"/>
        <v>168439</v>
      </c>
    </row>
    <row r="18" spans="1:14" x14ac:dyDescent="0.25">
      <c r="A18" t="s">
        <v>18</v>
      </c>
      <c r="B18" s="4">
        <v>6924</v>
      </c>
      <c r="C18" s="4">
        <v>5435</v>
      </c>
      <c r="D18" s="4">
        <v>8528</v>
      </c>
      <c r="E18" s="4">
        <v>2739</v>
      </c>
      <c r="F18" s="4">
        <v>4227</v>
      </c>
      <c r="G18" s="4">
        <v>1809</v>
      </c>
      <c r="H18" s="4">
        <v>7338</v>
      </c>
      <c r="I18" s="4">
        <v>1686</v>
      </c>
      <c r="J18" s="4">
        <v>3603</v>
      </c>
      <c r="K18" s="4">
        <v>2327</v>
      </c>
      <c r="L18" s="4">
        <v>7805</v>
      </c>
      <c r="M18" s="4">
        <v>4012</v>
      </c>
      <c r="N18" s="4">
        <f t="shared" si="0"/>
        <v>56433</v>
      </c>
    </row>
    <row r="19" spans="1:14" x14ac:dyDescent="0.25">
      <c r="A19" t="s">
        <v>19</v>
      </c>
      <c r="B19" s="4">
        <v>13347</v>
      </c>
      <c r="C19" s="4">
        <v>15566</v>
      </c>
      <c r="D19" s="4">
        <v>11993</v>
      </c>
      <c r="E19" s="4">
        <v>2756</v>
      </c>
      <c r="F19" s="4">
        <v>17225</v>
      </c>
      <c r="G19" s="4">
        <v>5443</v>
      </c>
      <c r="H19" s="4">
        <v>3354</v>
      </c>
      <c r="I19" s="4">
        <v>9417</v>
      </c>
      <c r="J19" s="4">
        <v>13287</v>
      </c>
      <c r="K19" s="4">
        <v>11334</v>
      </c>
      <c r="L19" s="4">
        <v>10914</v>
      </c>
      <c r="M19" s="4">
        <v>15346</v>
      </c>
      <c r="N19" s="4">
        <f t="shared" si="0"/>
        <v>129982</v>
      </c>
    </row>
    <row r="20" spans="1:14" x14ac:dyDescent="0.25">
      <c r="A20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f t="shared" si="0"/>
        <v>0</v>
      </c>
    </row>
    <row r="21" spans="1:14" x14ac:dyDescent="0.25">
      <c r="B21" s="8"/>
      <c r="C21" s="8"/>
      <c r="D21" s="8"/>
      <c r="E21" s="8"/>
      <c r="F21" s="8"/>
      <c r="G21" s="8"/>
      <c r="H21" s="8"/>
      <c r="I21" s="8"/>
      <c r="J21" s="8"/>
      <c r="K21" s="4"/>
      <c r="L21" s="4"/>
      <c r="M21" s="4"/>
      <c r="N21" s="4">
        <f t="shared" si="0"/>
        <v>0</v>
      </c>
    </row>
    <row r="22" spans="1:14" x14ac:dyDescent="0.25">
      <c r="B22" s="8"/>
      <c r="C22" s="8"/>
      <c r="D22" s="8"/>
      <c r="E22" s="8"/>
      <c r="F22" s="8"/>
      <c r="G22" s="8"/>
      <c r="H22" s="8"/>
      <c r="I22" s="8"/>
      <c r="J22" s="8"/>
      <c r="K22" s="4"/>
      <c r="L22" s="4"/>
      <c r="M22" s="4"/>
      <c r="N22" s="4">
        <f t="shared" si="0"/>
        <v>0</v>
      </c>
    </row>
    <row r="23" spans="1:14" x14ac:dyDescent="0.25">
      <c r="A23" s="1">
        <v>2024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3" t="s">
        <v>10</v>
      </c>
      <c r="L23" s="3" t="s">
        <v>11</v>
      </c>
      <c r="M23" s="3" t="s">
        <v>12</v>
      </c>
      <c r="N23" s="4">
        <f t="shared" si="0"/>
        <v>0</v>
      </c>
    </row>
    <row r="24" spans="1:14" x14ac:dyDescent="0.25">
      <c r="A24" t="s">
        <v>13</v>
      </c>
      <c r="B24" s="4">
        <v>39541</v>
      </c>
      <c r="C24" s="4">
        <v>36619</v>
      </c>
      <c r="D24" s="4">
        <v>28376</v>
      </c>
      <c r="E24" s="4">
        <v>47741</v>
      </c>
      <c r="F24" s="4">
        <v>26198</v>
      </c>
      <c r="G24" s="4">
        <v>16926</v>
      </c>
      <c r="H24" s="4">
        <v>21214</v>
      </c>
      <c r="I24" s="4">
        <v>61772</v>
      </c>
      <c r="J24" s="4">
        <v>28572</v>
      </c>
      <c r="K24" s="4">
        <v>40115</v>
      </c>
      <c r="L24" s="4">
        <v>25901</v>
      </c>
      <c r="M24" s="4">
        <v>26931</v>
      </c>
      <c r="N24" s="4">
        <f t="shared" si="0"/>
        <v>399906</v>
      </c>
    </row>
    <row r="25" spans="1:14" x14ac:dyDescent="0.25">
      <c r="A25" t="s">
        <v>14</v>
      </c>
      <c r="B25" s="4">
        <v>8151</v>
      </c>
      <c r="C25" s="4">
        <v>4705</v>
      </c>
      <c r="D25" s="4">
        <v>3034</v>
      </c>
      <c r="E25" s="4">
        <v>8913</v>
      </c>
      <c r="F25" s="4">
        <v>6094</v>
      </c>
      <c r="G25" s="4">
        <v>1388</v>
      </c>
      <c r="H25" s="4">
        <v>6521</v>
      </c>
      <c r="I25" s="4">
        <v>5847</v>
      </c>
      <c r="J25" s="4">
        <v>7347</v>
      </c>
      <c r="K25" s="4">
        <v>3640</v>
      </c>
      <c r="L25" s="4">
        <v>6432</v>
      </c>
      <c r="M25" s="4">
        <v>3534</v>
      </c>
      <c r="N25" s="4">
        <f t="shared" si="0"/>
        <v>65606</v>
      </c>
    </row>
    <row r="26" spans="1:14" x14ac:dyDescent="0.25">
      <c r="A26" t="s">
        <v>15</v>
      </c>
      <c r="B26" s="4">
        <v>249</v>
      </c>
      <c r="C26" s="4">
        <v>5998</v>
      </c>
      <c r="D26" s="4">
        <v>0</v>
      </c>
      <c r="E26" s="4">
        <v>3343</v>
      </c>
      <c r="F26" s="4">
        <v>3051</v>
      </c>
      <c r="G26" s="4">
        <v>1210</v>
      </c>
      <c r="H26" s="4">
        <v>3454</v>
      </c>
      <c r="I26" s="4">
        <v>10102</v>
      </c>
      <c r="J26" s="4">
        <v>430</v>
      </c>
      <c r="K26" s="4">
        <v>1351</v>
      </c>
      <c r="L26" s="4">
        <v>10940</v>
      </c>
      <c r="M26" s="4">
        <v>1801</v>
      </c>
      <c r="N26" s="4">
        <f t="shared" si="0"/>
        <v>41929</v>
      </c>
    </row>
    <row r="27" spans="1:14" x14ac:dyDescent="0.25">
      <c r="A27" t="s">
        <v>16</v>
      </c>
      <c r="B27" s="4">
        <v>8818</v>
      </c>
      <c r="C27" s="4">
        <v>4555</v>
      </c>
      <c r="D27" s="4">
        <v>1884</v>
      </c>
      <c r="E27" s="4">
        <v>9140</v>
      </c>
      <c r="F27" s="4">
        <v>11513</v>
      </c>
      <c r="G27" s="4">
        <v>8794</v>
      </c>
      <c r="H27" s="4">
        <v>12011</v>
      </c>
      <c r="I27" s="4">
        <v>10358</v>
      </c>
      <c r="J27" s="4">
        <v>7891</v>
      </c>
      <c r="K27" s="4">
        <v>16210</v>
      </c>
      <c r="L27" s="4">
        <v>3706</v>
      </c>
      <c r="M27" s="4">
        <v>5495</v>
      </c>
      <c r="N27" s="4">
        <f t="shared" si="0"/>
        <v>100375</v>
      </c>
    </row>
    <row r="28" spans="1:14" x14ac:dyDescent="0.25">
      <c r="A28" t="s">
        <v>17</v>
      </c>
      <c r="B28" s="4">
        <v>20568</v>
      </c>
      <c r="C28" s="4">
        <v>11815</v>
      </c>
      <c r="D28" s="4">
        <v>3736</v>
      </c>
      <c r="E28" s="4">
        <v>8751</v>
      </c>
      <c r="F28" s="4">
        <v>19594</v>
      </c>
      <c r="G28" s="4">
        <v>1362</v>
      </c>
      <c r="H28" s="4">
        <v>6951</v>
      </c>
      <c r="I28" s="4">
        <v>9826</v>
      </c>
      <c r="J28" s="4">
        <v>5316</v>
      </c>
      <c r="K28" s="4">
        <v>11125</v>
      </c>
      <c r="L28" s="4">
        <v>15303</v>
      </c>
      <c r="M28" s="4">
        <v>8712</v>
      </c>
      <c r="N28" s="4">
        <f t="shared" si="0"/>
        <v>123059</v>
      </c>
    </row>
    <row r="29" spans="1:14" x14ac:dyDescent="0.25">
      <c r="A29" t="s">
        <v>18</v>
      </c>
      <c r="B29" s="4">
        <v>6089</v>
      </c>
      <c r="C29" s="4">
        <v>2994</v>
      </c>
      <c r="D29" s="4">
        <v>4720</v>
      </c>
      <c r="E29" s="4">
        <v>7387</v>
      </c>
      <c r="F29" s="4">
        <v>8357</v>
      </c>
      <c r="G29" s="4">
        <v>2445</v>
      </c>
      <c r="H29" s="4">
        <v>2843</v>
      </c>
      <c r="I29" s="4">
        <v>2457</v>
      </c>
      <c r="J29" s="4">
        <v>3477</v>
      </c>
      <c r="K29" s="4">
        <v>6325</v>
      </c>
      <c r="L29" s="4">
        <v>2758</v>
      </c>
      <c r="M29" s="4">
        <v>6237</v>
      </c>
      <c r="N29" s="4">
        <f t="shared" si="0"/>
        <v>56089</v>
      </c>
    </row>
    <row r="30" spans="1:14" x14ac:dyDescent="0.25">
      <c r="A30" t="s">
        <v>19</v>
      </c>
      <c r="B30" s="4">
        <v>5561</v>
      </c>
      <c r="C30" s="4">
        <v>6461</v>
      </c>
      <c r="D30" s="4">
        <v>14742</v>
      </c>
      <c r="E30" s="4">
        <v>16600</v>
      </c>
      <c r="F30" s="4">
        <v>11344</v>
      </c>
      <c r="G30" s="4">
        <v>6443</v>
      </c>
      <c r="H30" s="4">
        <v>5167</v>
      </c>
      <c r="I30" s="4">
        <v>19446</v>
      </c>
      <c r="J30" s="4">
        <v>9142</v>
      </c>
      <c r="K30" s="4">
        <v>9201</v>
      </c>
      <c r="L30" s="4">
        <v>23005</v>
      </c>
      <c r="M30" s="4">
        <v>3786</v>
      </c>
      <c r="N30" s="4">
        <f t="shared" si="0"/>
        <v>130898</v>
      </c>
    </row>
    <row r="31" spans="1:14" x14ac:dyDescent="0.25">
      <c r="A31" t="s">
        <v>20</v>
      </c>
      <c r="B31" s="4">
        <v>0</v>
      </c>
      <c r="C31" s="4">
        <v>6424</v>
      </c>
      <c r="D31" s="4">
        <v>0</v>
      </c>
      <c r="E31" s="4">
        <v>249</v>
      </c>
      <c r="F31" s="4">
        <v>1073</v>
      </c>
      <c r="G31" s="4">
        <v>0</v>
      </c>
      <c r="H31" s="4">
        <v>0</v>
      </c>
      <c r="I31" s="4">
        <v>661</v>
      </c>
      <c r="J31" s="4">
        <v>3419</v>
      </c>
      <c r="K31" s="4">
        <v>0</v>
      </c>
      <c r="L31" s="4">
        <v>4140</v>
      </c>
      <c r="M31" s="4">
        <v>2869</v>
      </c>
      <c r="N31" s="4">
        <f t="shared" si="0"/>
        <v>18835</v>
      </c>
    </row>
    <row r="32" spans="1:14" x14ac:dyDescent="0.25">
      <c r="B32" s="8"/>
      <c r="C32" s="8"/>
      <c r="D32" s="8"/>
      <c r="E32" s="8"/>
      <c r="F32" s="8"/>
      <c r="G32" s="8"/>
      <c r="H32" s="8"/>
      <c r="I32" s="8"/>
      <c r="J32" s="8"/>
      <c r="K32" s="4"/>
      <c r="L32" s="4"/>
      <c r="M32" s="4"/>
      <c r="N32" s="4">
        <f t="shared" si="0"/>
        <v>0</v>
      </c>
    </row>
    <row r="33" spans="1:14" x14ac:dyDescent="0.25">
      <c r="B33" s="8"/>
      <c r="C33" s="8"/>
      <c r="D33" s="8"/>
      <c r="E33" s="8"/>
      <c r="F33" s="8"/>
      <c r="G33" s="8"/>
      <c r="H33" s="8"/>
      <c r="I33" s="8"/>
      <c r="J33" s="8"/>
      <c r="K33" s="4"/>
      <c r="L33" s="4"/>
      <c r="M33" s="4"/>
      <c r="N33" s="4">
        <f t="shared" si="0"/>
        <v>0</v>
      </c>
    </row>
    <row r="34" spans="1:14" x14ac:dyDescent="0.25">
      <c r="A34" s="1">
        <v>2025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9</v>
      </c>
      <c r="K34" s="3" t="s">
        <v>10</v>
      </c>
      <c r="L34" s="3" t="s">
        <v>11</v>
      </c>
      <c r="M34" s="3" t="s">
        <v>12</v>
      </c>
      <c r="N34" s="4">
        <f t="shared" si="0"/>
        <v>0</v>
      </c>
    </row>
    <row r="35" spans="1:14" x14ac:dyDescent="0.25">
      <c r="A35" t="s">
        <v>13</v>
      </c>
      <c r="B35" s="4">
        <v>55095</v>
      </c>
      <c r="C35" s="4">
        <v>18042</v>
      </c>
      <c r="D35" s="4">
        <v>49988</v>
      </c>
      <c r="E35" s="4">
        <v>22026</v>
      </c>
      <c r="F35" s="4">
        <v>15704</v>
      </c>
      <c r="G35" s="4">
        <v>45785</v>
      </c>
      <c r="H35" s="4">
        <v>35575</v>
      </c>
      <c r="I35" s="4">
        <v>25780</v>
      </c>
      <c r="J35" s="4">
        <v>49904</v>
      </c>
      <c r="K35" s="4">
        <v>24874</v>
      </c>
      <c r="L35" s="4">
        <v>18960</v>
      </c>
      <c r="M35" s="4">
        <v>23517</v>
      </c>
      <c r="N35" s="4">
        <f t="shared" si="0"/>
        <v>385250</v>
      </c>
    </row>
    <row r="36" spans="1:14" x14ac:dyDescent="0.25">
      <c r="A36" t="s">
        <v>14</v>
      </c>
      <c r="B36" s="4">
        <v>6320</v>
      </c>
      <c r="C36" s="4">
        <v>6046</v>
      </c>
      <c r="D36" s="4">
        <v>10534</v>
      </c>
      <c r="E36" s="4">
        <v>5162</v>
      </c>
      <c r="F36" s="4">
        <v>2954</v>
      </c>
      <c r="G36" s="4">
        <v>7503</v>
      </c>
      <c r="H36" s="4">
        <v>4708</v>
      </c>
      <c r="I36" s="4">
        <v>5804</v>
      </c>
      <c r="J36" s="4">
        <v>9166</v>
      </c>
      <c r="K36" s="4">
        <v>7131</v>
      </c>
      <c r="L36" s="4">
        <v>6731</v>
      </c>
      <c r="M36" s="4">
        <v>4567</v>
      </c>
      <c r="N36" s="4">
        <f t="shared" si="0"/>
        <v>76626</v>
      </c>
    </row>
    <row r="37" spans="1:14" x14ac:dyDescent="0.25">
      <c r="A37" t="s">
        <v>15</v>
      </c>
      <c r="B37" s="4">
        <v>1897</v>
      </c>
      <c r="C37" s="4">
        <v>207</v>
      </c>
      <c r="D37" s="4">
        <v>6593</v>
      </c>
      <c r="E37" s="4">
        <v>1656</v>
      </c>
      <c r="F37" s="4">
        <v>10407</v>
      </c>
      <c r="G37" s="4">
        <v>3384</v>
      </c>
      <c r="H37" s="4">
        <v>1796</v>
      </c>
      <c r="I37" s="4">
        <v>997</v>
      </c>
      <c r="J37" s="4">
        <v>5629</v>
      </c>
      <c r="K37" s="4">
        <v>3289</v>
      </c>
      <c r="L37" s="4">
        <v>6372</v>
      </c>
      <c r="M37" s="4">
        <v>3468</v>
      </c>
      <c r="N37" s="4">
        <f t="shared" si="0"/>
        <v>45695</v>
      </c>
    </row>
    <row r="38" spans="1:14" x14ac:dyDescent="0.25">
      <c r="A38" t="s">
        <v>16</v>
      </c>
      <c r="B38" s="4">
        <v>4392</v>
      </c>
      <c r="C38" s="4">
        <v>1084</v>
      </c>
      <c r="D38" s="4">
        <v>6821</v>
      </c>
      <c r="E38" s="4">
        <v>3651</v>
      </c>
      <c r="F38" s="4">
        <v>3166</v>
      </c>
      <c r="G38" s="4">
        <v>15545</v>
      </c>
      <c r="H38" s="4">
        <v>6333</v>
      </c>
      <c r="I38" s="4">
        <v>8888</v>
      </c>
      <c r="J38" s="4">
        <v>9644</v>
      </c>
      <c r="K38" s="4">
        <v>12461</v>
      </c>
      <c r="L38" s="4">
        <v>3000</v>
      </c>
      <c r="M38" s="4">
        <v>3546</v>
      </c>
      <c r="N38" s="4">
        <f t="shared" si="0"/>
        <v>78531</v>
      </c>
    </row>
    <row r="39" spans="1:14" x14ac:dyDescent="0.25">
      <c r="A39" t="s">
        <v>17</v>
      </c>
      <c r="B39" s="4">
        <v>12349</v>
      </c>
      <c r="C39" s="4">
        <v>2727</v>
      </c>
      <c r="D39" s="4">
        <v>12173</v>
      </c>
      <c r="E39" s="4">
        <v>5571</v>
      </c>
      <c r="F39" s="4">
        <v>2326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f t="shared" si="0"/>
        <v>35146</v>
      </c>
    </row>
    <row r="40" spans="1:14" x14ac:dyDescent="0.25">
      <c r="A40" t="s">
        <v>18</v>
      </c>
      <c r="B40" s="4">
        <v>3076</v>
      </c>
      <c r="C40" s="4">
        <v>3373</v>
      </c>
      <c r="D40" s="4">
        <v>9656</v>
      </c>
      <c r="E40" s="4">
        <v>5610</v>
      </c>
      <c r="F40" s="4">
        <v>2732</v>
      </c>
      <c r="G40" s="4">
        <v>2960</v>
      </c>
      <c r="H40" s="4">
        <v>5491</v>
      </c>
      <c r="I40" s="4">
        <v>1341</v>
      </c>
      <c r="J40" s="4">
        <v>5393</v>
      </c>
      <c r="K40" s="4">
        <v>4607</v>
      </c>
      <c r="L40" s="4">
        <v>1817</v>
      </c>
      <c r="M40" s="4">
        <v>1752</v>
      </c>
      <c r="N40" s="4">
        <f t="shared" si="0"/>
        <v>47808</v>
      </c>
    </row>
    <row r="41" spans="1:14" x14ac:dyDescent="0.25">
      <c r="A41" t="s">
        <v>19</v>
      </c>
      <c r="B41" s="4">
        <v>10754</v>
      </c>
      <c r="C41" s="4">
        <v>4481</v>
      </c>
      <c r="D41" s="4">
        <v>15869</v>
      </c>
      <c r="E41" s="4">
        <v>2152</v>
      </c>
      <c r="F41" s="4">
        <v>2078</v>
      </c>
      <c r="G41" s="4">
        <v>16912</v>
      </c>
      <c r="H41" s="4">
        <v>12121</v>
      </c>
      <c r="I41" s="4">
        <v>6003</v>
      </c>
      <c r="J41" s="4">
        <v>13694</v>
      </c>
      <c r="K41" s="4">
        <v>21082</v>
      </c>
      <c r="L41" s="4">
        <v>8362</v>
      </c>
      <c r="M41" s="4">
        <v>2552</v>
      </c>
      <c r="N41" s="4">
        <f t="shared" si="0"/>
        <v>116060</v>
      </c>
    </row>
    <row r="42" spans="1:14" x14ac:dyDescent="0.25">
      <c r="A42" t="s">
        <v>20</v>
      </c>
      <c r="B42" s="4">
        <v>356</v>
      </c>
      <c r="C42" s="4">
        <v>0</v>
      </c>
      <c r="D42" s="4">
        <v>0</v>
      </c>
      <c r="E42" s="4">
        <v>0</v>
      </c>
      <c r="F42" s="4">
        <v>4172</v>
      </c>
      <c r="G42" s="4">
        <v>0</v>
      </c>
      <c r="H42" s="4">
        <v>0</v>
      </c>
      <c r="I42" s="4">
        <v>0</v>
      </c>
      <c r="J42" s="4">
        <v>2696</v>
      </c>
      <c r="K42" s="4">
        <v>771</v>
      </c>
      <c r="L42" s="4">
        <v>349</v>
      </c>
      <c r="M42" s="4">
        <v>841</v>
      </c>
      <c r="N42" s="4">
        <f t="shared" si="0"/>
        <v>9185</v>
      </c>
    </row>
    <row r="43" spans="1:14" x14ac:dyDescent="0.25">
      <c r="A43" t="s">
        <v>34</v>
      </c>
      <c r="B43" s="8"/>
      <c r="C43" s="8"/>
      <c r="D43" s="8"/>
      <c r="E43" s="8"/>
      <c r="F43" s="8">
        <v>3165</v>
      </c>
      <c r="G43" s="8">
        <v>10249</v>
      </c>
      <c r="H43" s="8">
        <v>7394</v>
      </c>
      <c r="I43" s="8">
        <v>6141</v>
      </c>
      <c r="J43" s="8">
        <v>13572</v>
      </c>
      <c r="K43" s="4">
        <v>11504</v>
      </c>
      <c r="L43" s="4">
        <v>5351</v>
      </c>
      <c r="M43" s="4">
        <v>8636</v>
      </c>
      <c r="N43" s="4">
        <f t="shared" si="0"/>
        <v>66012</v>
      </c>
    </row>
    <row r="44" spans="1:14" x14ac:dyDescent="0.25">
      <c r="B44" s="8"/>
      <c r="C44" s="8"/>
      <c r="D44" s="8"/>
      <c r="E44" s="8"/>
      <c r="F44" s="8"/>
      <c r="G44" s="8"/>
      <c r="H44" s="4"/>
      <c r="I44" s="4"/>
      <c r="J44" s="4"/>
      <c r="K44" s="4"/>
      <c r="L44" s="4"/>
      <c r="M44" s="4"/>
      <c r="N44" s="4">
        <f>+SUM(N35:N43)</f>
        <v>860313</v>
      </c>
    </row>
    <row r="45" spans="1:14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4" x14ac:dyDescent="0.25">
      <c r="F46" s="8"/>
      <c r="G46" s="8"/>
      <c r="H46" s="8"/>
      <c r="I46" s="8"/>
      <c r="J46" s="8"/>
      <c r="K46" s="8"/>
    </row>
    <row r="47" spans="1:14" x14ac:dyDescent="0.25">
      <c r="F47" s="8"/>
      <c r="G47" s="8"/>
      <c r="H47" s="8"/>
      <c r="I47" s="8"/>
      <c r="J47" s="8"/>
    </row>
    <row r="48" spans="1:14" x14ac:dyDescent="0.25">
      <c r="A48" s="39">
        <v>2026</v>
      </c>
      <c r="B48" s="40" t="s">
        <v>1</v>
      </c>
      <c r="C48" s="40" t="s">
        <v>2</v>
      </c>
      <c r="D48" s="40" t="s">
        <v>3</v>
      </c>
      <c r="E48" s="40" t="s">
        <v>4</v>
      </c>
      <c r="F48" s="40" t="s">
        <v>5</v>
      </c>
      <c r="G48" s="40" t="s">
        <v>6</v>
      </c>
      <c r="H48" s="40" t="s">
        <v>7</v>
      </c>
      <c r="I48" s="40" t="s">
        <v>8</v>
      </c>
      <c r="J48" s="40" t="s">
        <v>9</v>
      </c>
      <c r="K48" s="41" t="s">
        <v>10</v>
      </c>
      <c r="L48" s="41" t="s">
        <v>11</v>
      </c>
      <c r="M48" s="42" t="s">
        <v>12</v>
      </c>
    </row>
    <row r="49" spans="1:14" x14ac:dyDescent="0.25">
      <c r="A49" s="5" t="s">
        <v>13</v>
      </c>
      <c r="B49" s="11">
        <v>44979</v>
      </c>
      <c r="C49" s="11">
        <v>19092</v>
      </c>
      <c r="D49" s="11">
        <v>48473</v>
      </c>
      <c r="E49" s="11">
        <v>22967</v>
      </c>
      <c r="F49" s="11">
        <v>27836</v>
      </c>
      <c r="G49" s="11">
        <v>20796</v>
      </c>
      <c r="H49" s="11">
        <v>11263</v>
      </c>
      <c r="I49" s="11">
        <v>39715</v>
      </c>
      <c r="J49" s="11">
        <v>34535</v>
      </c>
      <c r="K49" s="11"/>
      <c r="L49" s="11"/>
      <c r="M49" s="43"/>
      <c r="N49" s="8">
        <f t="shared" ref="N49:N53" si="1">+SUM(B49:M49)</f>
        <v>269656</v>
      </c>
    </row>
    <row r="50" spans="1:14" x14ac:dyDescent="0.25">
      <c r="A50" s="38" t="s">
        <v>14</v>
      </c>
      <c r="B50" s="10">
        <v>6498</v>
      </c>
      <c r="C50" s="10">
        <v>4009</v>
      </c>
      <c r="D50" s="10">
        <v>4443</v>
      </c>
      <c r="E50" s="10">
        <v>4755</v>
      </c>
      <c r="F50" s="10">
        <v>3745</v>
      </c>
      <c r="G50" s="10">
        <v>4015</v>
      </c>
      <c r="H50" s="10">
        <v>2839</v>
      </c>
      <c r="I50" s="10">
        <v>5420</v>
      </c>
      <c r="J50" s="10">
        <v>3253</v>
      </c>
      <c r="K50" s="10"/>
      <c r="L50" s="10"/>
      <c r="M50" s="44"/>
      <c r="N50" s="8">
        <f t="shared" si="1"/>
        <v>38977</v>
      </c>
    </row>
    <row r="51" spans="1:14" x14ac:dyDescent="0.25">
      <c r="A51" s="5" t="s">
        <v>15</v>
      </c>
      <c r="B51" s="11">
        <v>2298</v>
      </c>
      <c r="C51" s="11">
        <v>1746</v>
      </c>
      <c r="D51" s="11">
        <v>8058</v>
      </c>
      <c r="E51" s="11">
        <v>5552</v>
      </c>
      <c r="F51" s="11">
        <v>1983</v>
      </c>
      <c r="G51" s="11">
        <v>0</v>
      </c>
      <c r="H51" s="11">
        <v>2109</v>
      </c>
      <c r="I51" s="11">
        <v>6368</v>
      </c>
      <c r="J51" s="11">
        <v>7704</v>
      </c>
      <c r="K51" s="11"/>
      <c r="L51" s="11"/>
      <c r="M51" s="43"/>
      <c r="N51" s="8">
        <f t="shared" si="1"/>
        <v>35818</v>
      </c>
    </row>
    <row r="52" spans="1:14" x14ac:dyDescent="0.25">
      <c r="A52" s="38" t="s">
        <v>16</v>
      </c>
      <c r="B52" s="10">
        <v>7403</v>
      </c>
      <c r="C52" s="10">
        <v>5815</v>
      </c>
      <c r="D52" s="10">
        <v>4467</v>
      </c>
      <c r="E52" s="10">
        <v>4298</v>
      </c>
      <c r="F52" s="10">
        <v>6266</v>
      </c>
      <c r="G52" s="10">
        <v>4710</v>
      </c>
      <c r="H52" s="10">
        <v>2764</v>
      </c>
      <c r="I52" s="10">
        <v>14935</v>
      </c>
      <c r="J52" s="10">
        <v>14320</v>
      </c>
      <c r="K52" s="10"/>
      <c r="L52" s="10"/>
      <c r="M52" s="44"/>
      <c r="N52" s="8">
        <f t="shared" si="1"/>
        <v>64978</v>
      </c>
    </row>
    <row r="53" spans="1:14" x14ac:dyDescent="0.25">
      <c r="A53" s="38" t="s">
        <v>18</v>
      </c>
      <c r="B53" s="11">
        <v>7348</v>
      </c>
      <c r="C53" s="11">
        <v>5106</v>
      </c>
      <c r="D53" s="11">
        <v>4096</v>
      </c>
      <c r="E53" s="11">
        <v>6994</v>
      </c>
      <c r="F53" s="11">
        <v>5422</v>
      </c>
      <c r="G53" s="11">
        <v>3991</v>
      </c>
      <c r="H53" s="11">
        <v>3806</v>
      </c>
      <c r="I53" s="11">
        <v>2928</v>
      </c>
      <c r="J53" s="11">
        <v>10658</v>
      </c>
      <c r="K53" s="11"/>
      <c r="L53" s="11"/>
      <c r="M53" s="43"/>
      <c r="N53" s="8">
        <f t="shared" si="1"/>
        <v>50349</v>
      </c>
    </row>
    <row r="54" spans="1:14" x14ac:dyDescent="0.25">
      <c r="A54" s="5" t="s">
        <v>19</v>
      </c>
      <c r="B54" s="10">
        <v>10553</v>
      </c>
      <c r="C54" s="10">
        <v>16032</v>
      </c>
      <c r="D54" s="10">
        <v>11211</v>
      </c>
      <c r="E54" s="10">
        <v>9961</v>
      </c>
      <c r="F54" s="10">
        <v>10940</v>
      </c>
      <c r="G54" s="10">
        <v>2311</v>
      </c>
      <c r="H54" s="10">
        <v>25061</v>
      </c>
      <c r="I54" s="10">
        <v>25061</v>
      </c>
      <c r="J54" s="10">
        <v>18446</v>
      </c>
      <c r="K54" s="10"/>
      <c r="L54" s="10"/>
      <c r="M54" s="44"/>
      <c r="N54" s="8">
        <f>+SUM(B54:M54)</f>
        <v>129576</v>
      </c>
    </row>
    <row r="55" spans="1:14" x14ac:dyDescent="0.25">
      <c r="A55" s="38" t="s">
        <v>20</v>
      </c>
      <c r="B55" s="11">
        <v>3784</v>
      </c>
      <c r="C55" s="11">
        <v>0</v>
      </c>
      <c r="D55" s="11">
        <v>1687</v>
      </c>
      <c r="E55" s="11">
        <v>2785</v>
      </c>
      <c r="F55" s="11">
        <v>0</v>
      </c>
      <c r="G55" s="11">
        <v>1197</v>
      </c>
      <c r="H55" s="11">
        <v>0</v>
      </c>
      <c r="I55" s="11">
        <v>1829</v>
      </c>
      <c r="J55" s="11">
        <v>550</v>
      </c>
      <c r="K55" s="11"/>
      <c r="L55" s="11"/>
      <c r="M55" s="43"/>
      <c r="N55" s="8">
        <f t="shared" ref="N55:N57" si="2">+SUM(B55:M55)</f>
        <v>11832</v>
      </c>
    </row>
    <row r="56" spans="1:14" x14ac:dyDescent="0.25">
      <c r="A56" s="5" t="s">
        <v>34</v>
      </c>
      <c r="B56" s="10">
        <v>7217</v>
      </c>
      <c r="C56" s="10">
        <v>11201</v>
      </c>
      <c r="D56" s="10">
        <v>11205</v>
      </c>
      <c r="E56" s="10">
        <v>7267</v>
      </c>
      <c r="F56" s="10">
        <v>3516</v>
      </c>
      <c r="G56" s="10">
        <v>6106</v>
      </c>
      <c r="H56" s="10">
        <v>3754</v>
      </c>
      <c r="I56" s="10">
        <v>19181</v>
      </c>
      <c r="J56" s="10">
        <v>6948</v>
      </c>
      <c r="K56" s="10"/>
      <c r="L56" s="10"/>
      <c r="M56" s="44"/>
      <c r="N56" s="8">
        <f t="shared" si="2"/>
        <v>76395</v>
      </c>
    </row>
    <row r="57" spans="1:14" x14ac:dyDescent="0.25">
      <c r="A57" s="5" t="s">
        <v>35</v>
      </c>
      <c r="B57" s="45">
        <v>2781</v>
      </c>
      <c r="C57" s="45">
        <v>5421</v>
      </c>
      <c r="D57" s="45">
        <v>0</v>
      </c>
      <c r="E57" s="45"/>
      <c r="F57" s="45"/>
      <c r="G57" s="45"/>
      <c r="H57" s="45"/>
      <c r="I57" s="45"/>
      <c r="J57" s="45"/>
      <c r="K57" s="11"/>
      <c r="L57" s="11"/>
      <c r="M57" s="43"/>
      <c r="N57" s="8">
        <f t="shared" si="2"/>
        <v>8202</v>
      </c>
    </row>
    <row r="58" spans="1:14" x14ac:dyDescent="0.25">
      <c r="A58" s="38"/>
      <c r="B58" s="46"/>
      <c r="C58" s="46"/>
      <c r="D58" s="46"/>
      <c r="E58" s="46"/>
      <c r="F58" s="46"/>
      <c r="G58" s="46"/>
      <c r="H58" s="10"/>
      <c r="I58" s="10"/>
      <c r="J58" s="10"/>
      <c r="K58" s="10"/>
      <c r="L58" s="10"/>
      <c r="M58" s="44"/>
      <c r="N58" s="8">
        <f>+SUM(N49:N57)</f>
        <v>685783</v>
      </c>
    </row>
    <row r="59" spans="1:14" x14ac:dyDescent="0.25">
      <c r="N59" s="8">
        <f>+N44-N58</f>
        <v>174530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EA95-32F7-4C80-B9E1-072EA30F377A}">
  <dimension ref="A1:E54"/>
  <sheetViews>
    <sheetView topLeftCell="A10" zoomScale="70" zoomScaleNormal="70" workbookViewId="0">
      <selection activeCell="D53" sqref="D53"/>
    </sheetView>
  </sheetViews>
  <sheetFormatPr baseColWidth="10" defaultColWidth="11.42578125" defaultRowHeight="15" x14ac:dyDescent="0.25"/>
  <cols>
    <col min="1" max="1" width="24.7109375" customWidth="1"/>
    <col min="2" max="2" width="24.42578125" customWidth="1"/>
    <col min="3" max="3" width="23.85546875" bestFit="1" customWidth="1"/>
    <col min="4" max="4" width="24.5703125" customWidth="1"/>
    <col min="5" max="5" width="23.5703125" customWidth="1"/>
    <col min="7" max="7" width="12.140625" customWidth="1"/>
    <col min="8" max="8" width="11.28515625" customWidth="1"/>
    <col min="9" max="9" width="11.140625" customWidth="1"/>
    <col min="10" max="10" width="10.140625" customWidth="1"/>
    <col min="11" max="11" width="8.7109375" customWidth="1"/>
    <col min="12" max="12" width="6.140625" customWidth="1"/>
    <col min="13" max="13" width="10.5703125" customWidth="1"/>
    <col min="15" max="15" width="9.85546875" customWidth="1"/>
    <col min="16" max="16" width="6.28515625" customWidth="1"/>
    <col min="17" max="17" width="9" customWidth="1"/>
    <col min="18" max="18" width="11.42578125" customWidth="1"/>
    <col min="19" max="19" width="11.5703125" customWidth="1"/>
    <col min="20" max="20" width="13.42578125" customWidth="1"/>
    <col min="21" max="21" width="12" customWidth="1"/>
  </cols>
  <sheetData>
    <row r="1" spans="1:5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5">
      <c r="A2" t="s">
        <v>13</v>
      </c>
      <c r="B2" s="4">
        <f>SUM(Tabla6[[#This Row],[ENERO]:[MARZO]])</f>
        <v>216103</v>
      </c>
      <c r="C2" s="4">
        <f>SUM(Tabla6[[#This Row],[ABRIL]:[JUNIO]])</f>
        <v>116834</v>
      </c>
      <c r="D2" s="4">
        <f>SUM(Tabla6[[#This Row],[JULIO]:[SEPTIEMBRE]])</f>
        <v>103537</v>
      </c>
      <c r="E2" s="4">
        <f>SUM(Tabla6[[#This Row],[OCTUBRE]:[DICIEMBRE]])</f>
        <v>96551</v>
      </c>
    </row>
    <row r="3" spans="1:5" x14ac:dyDescent="0.25">
      <c r="A3" t="s">
        <v>14</v>
      </c>
      <c r="B3" s="4">
        <f>SUM(Tabla6[[#This Row],[ENERO]:[MARZO]])</f>
        <v>25763</v>
      </c>
      <c r="C3" s="4">
        <f>SUM(Tabla6[[#This Row],[ABRIL]:[JUNIO]])</f>
        <v>16282</v>
      </c>
      <c r="D3" s="4">
        <f>SUM(Tabla6[[#This Row],[JULIO]:[SEPTIEMBRE]])</f>
        <v>15897</v>
      </c>
      <c r="E3" s="4">
        <f>SUM(Tabla6[[#This Row],[OCTUBRE]:[DICIEMBRE]])</f>
        <v>15206</v>
      </c>
    </row>
    <row r="4" spans="1:5" x14ac:dyDescent="0.25">
      <c r="A4" t="s">
        <v>15</v>
      </c>
      <c r="B4" s="4">
        <f>SUM(Tabla6[[#This Row],[ENERO]:[MARZO]])</f>
        <v>16677</v>
      </c>
      <c r="C4" s="4">
        <f>SUM(Tabla6[[#This Row],[ABRIL]:[JUNIO]])</f>
        <v>11359</v>
      </c>
      <c r="D4" s="4">
        <f>SUM(Tabla6[[#This Row],[JULIO]:[SEPTIEMBRE]])</f>
        <v>14590</v>
      </c>
      <c r="E4" s="4">
        <f>SUM(Tabla6[[#This Row],[OCTUBRE]:[DICIEMBRE]])</f>
        <v>9724</v>
      </c>
    </row>
    <row r="5" spans="1:5" x14ac:dyDescent="0.25">
      <c r="A5" t="s">
        <v>16</v>
      </c>
      <c r="B5" s="4">
        <f>SUM(Tabla6[[#This Row],[ENERO]:[MARZO]])</f>
        <v>36407</v>
      </c>
      <c r="C5" s="4">
        <f>SUM(Tabla6[[#This Row],[ABRIL]:[JUNIO]])</f>
        <v>39730</v>
      </c>
      <c r="D5" s="4">
        <f>SUM(Tabla6[[#This Row],[JULIO]:[SEPTIEMBRE]])</f>
        <v>31866</v>
      </c>
      <c r="E5" s="4">
        <f>SUM(Tabla6[[#This Row],[OCTUBRE]:[DICIEMBRE]])</f>
        <v>36774</v>
      </c>
    </row>
    <row r="6" spans="1:5" x14ac:dyDescent="0.25">
      <c r="A6" t="s">
        <v>17</v>
      </c>
      <c r="B6" s="4">
        <f>SUM(Tabla6[[#This Row],[ENERO]:[MARZO]])</f>
        <v>41689</v>
      </c>
      <c r="C6" s="4">
        <f>SUM(Tabla6[[#This Row],[ABRIL]:[JUNIO]])</f>
        <v>54976</v>
      </c>
      <c r="D6" s="4">
        <f>SUM(Tabla6[[#This Row],[JULIO]:[SEPTIEMBRE]])</f>
        <v>33110</v>
      </c>
      <c r="E6" s="4">
        <f>SUM(Tabla6[[#This Row],[OCTUBRE]:[DICIEMBRE]])</f>
        <v>39506</v>
      </c>
    </row>
    <row r="7" spans="1:5" x14ac:dyDescent="0.25">
      <c r="A7" t="s">
        <v>18</v>
      </c>
      <c r="B7" s="4">
        <f>SUM(Tabla6[[#This Row],[ENERO]:[MARZO]])</f>
        <v>29438</v>
      </c>
      <c r="C7" s="4">
        <f>SUM(Tabla6[[#This Row],[ABRIL]:[JUNIO]])</f>
        <v>26280</v>
      </c>
      <c r="D7" s="4">
        <f>SUM(Tabla6[[#This Row],[JULIO]:[SEPTIEMBRE]])</f>
        <v>15803</v>
      </c>
      <c r="E7" s="4">
        <f>SUM(Tabla6[[#This Row],[OCTUBRE]:[DICIEMBRE]])</f>
        <v>8324</v>
      </c>
    </row>
    <row r="8" spans="1:5" x14ac:dyDescent="0.25">
      <c r="A8" t="s">
        <v>19</v>
      </c>
      <c r="B8" s="4">
        <f>SUM(Tabla6[[#This Row],[ENERO]:[MARZO]])</f>
        <v>74042</v>
      </c>
      <c r="C8" s="4">
        <f>SUM(Tabla6[[#This Row],[ABRIL]:[JUNIO]])</f>
        <v>44420</v>
      </c>
      <c r="D8" s="4">
        <f>SUM(Tabla6[[#This Row],[JULIO]:[SEPTIEMBRE]])</f>
        <v>27118</v>
      </c>
      <c r="E8" s="4">
        <f>SUM(Tabla6[[#This Row],[OCTUBRE]:[DICIEMBRE]])</f>
        <v>34951</v>
      </c>
    </row>
    <row r="9" spans="1:5" x14ac:dyDescent="0.25">
      <c r="A9" t="s">
        <v>20</v>
      </c>
      <c r="B9" s="4">
        <f>SUM(Tabla6[[#This Row],[ENERO]:[MARZO]])</f>
        <v>0</v>
      </c>
      <c r="C9" s="4">
        <f>SUM(Tabla6[[#This Row],[ABRIL]:[JUNIO]])</f>
        <v>0</v>
      </c>
      <c r="D9" s="4">
        <f>SUM(Tabla6[[#This Row],[JULIO]:[SEPTIEMBRE]])</f>
        <v>0</v>
      </c>
      <c r="E9" s="4">
        <f>SUM(Tabla6[[#This Row],[OCTUBRE]:[DICIEMBRE]])</f>
        <v>0</v>
      </c>
    </row>
    <row r="12" spans="1:5" x14ac:dyDescent="0.25">
      <c r="A12" s="9">
        <v>2023</v>
      </c>
      <c r="B12" s="9" t="s">
        <v>28</v>
      </c>
      <c r="C12" s="9" t="s">
        <v>29</v>
      </c>
      <c r="D12" s="9" t="s">
        <v>30</v>
      </c>
      <c r="E12" s="9" t="s">
        <v>31</v>
      </c>
    </row>
    <row r="13" spans="1:5" x14ac:dyDescent="0.25">
      <c r="A13" t="s">
        <v>13</v>
      </c>
      <c r="B13" s="4">
        <f>SUM(Tabla6[[#This Row],[ENERO]:[MARZO]])</f>
        <v>131594</v>
      </c>
      <c r="C13" s="4">
        <f>SUM(Tabla6[[#This Row],[ABRIL]:[JUNIO]])</f>
        <v>75484</v>
      </c>
      <c r="D13" s="4">
        <f>SUM(Tabla6[[#This Row],[JULIO]:[SEPTIEMBRE]])</f>
        <v>94963</v>
      </c>
      <c r="E13" s="4">
        <f>SUM(Tabla6[[#This Row],[OCTUBRE]:[DICIEMBRE]])</f>
        <v>97383</v>
      </c>
    </row>
    <row r="14" spans="1:5" x14ac:dyDescent="0.25">
      <c r="A14" t="s">
        <v>14</v>
      </c>
      <c r="B14" s="4">
        <f>SUM(Tabla6[[#This Row],[ENERO]:[MARZO]])</f>
        <v>21664</v>
      </c>
      <c r="C14" s="4">
        <f>SUM(Tabla6[[#This Row],[ABRIL]:[JUNIO]])</f>
        <v>18967</v>
      </c>
      <c r="D14" s="4">
        <f>SUM(Tabla6[[#This Row],[JULIO]:[SEPTIEMBRE]])</f>
        <v>9796</v>
      </c>
      <c r="E14" s="4">
        <f>SUM(Tabla6[[#This Row],[OCTUBRE]:[DICIEMBRE]])</f>
        <v>20576</v>
      </c>
    </row>
    <row r="15" spans="1:5" x14ac:dyDescent="0.25">
      <c r="A15" t="s">
        <v>15</v>
      </c>
      <c r="B15" s="4">
        <f>SUM(Tabla6[[#This Row],[ENERO]:[MARZO]])</f>
        <v>18965</v>
      </c>
      <c r="C15" s="4">
        <f>SUM(Tabla6[[#This Row],[ABRIL]:[JUNIO]])</f>
        <v>3211</v>
      </c>
      <c r="D15" s="4">
        <f>SUM(Tabla6[[#This Row],[JULIO]:[SEPTIEMBRE]])</f>
        <v>9837</v>
      </c>
      <c r="E15" s="4">
        <f>SUM(Tabla6[[#This Row],[OCTUBRE]:[DICIEMBRE]])</f>
        <v>27609</v>
      </c>
    </row>
    <row r="16" spans="1:5" x14ac:dyDescent="0.25">
      <c r="A16" t="s">
        <v>16</v>
      </c>
      <c r="B16" s="4">
        <f>SUM(Tabla6[[#This Row],[ENERO]:[MARZO]])</f>
        <v>36359</v>
      </c>
      <c r="C16" s="4">
        <f>SUM(Tabla6[[#This Row],[ABRIL]:[JUNIO]])</f>
        <v>14207</v>
      </c>
      <c r="D16" s="4">
        <f>SUM(Tabla6[[#This Row],[JULIO]:[SEPTIEMBRE]])</f>
        <v>28772</v>
      </c>
      <c r="E16" s="4">
        <f>SUM(Tabla6[[#This Row],[OCTUBRE]:[DICIEMBRE]])</f>
        <v>25245</v>
      </c>
    </row>
    <row r="17" spans="1:5" x14ac:dyDescent="0.25">
      <c r="A17" t="s">
        <v>17</v>
      </c>
      <c r="B17" s="4">
        <f>SUM(Tabla6[[#This Row],[ENERO]:[MARZO]])</f>
        <v>63870</v>
      </c>
      <c r="C17" s="4">
        <f>SUM(Tabla6[[#This Row],[ABRIL]:[JUNIO]])</f>
        <v>30899</v>
      </c>
      <c r="D17" s="4">
        <f>SUM(Tabla6[[#This Row],[JULIO]:[SEPTIEMBRE]])</f>
        <v>40434</v>
      </c>
      <c r="E17" s="4">
        <f>SUM(Tabla6[[#This Row],[OCTUBRE]:[DICIEMBRE]])</f>
        <v>33236</v>
      </c>
    </row>
    <row r="18" spans="1:5" x14ac:dyDescent="0.25">
      <c r="A18" t="s">
        <v>18</v>
      </c>
      <c r="B18" s="4">
        <f>SUM(Tabla6[[#This Row],[ENERO]:[MARZO]])</f>
        <v>20887</v>
      </c>
      <c r="C18" s="4">
        <f>SUM(Tabla6[[#This Row],[ABRIL]:[JUNIO]])</f>
        <v>8775</v>
      </c>
      <c r="D18" s="4">
        <f>SUM(Tabla6[[#This Row],[JULIO]:[SEPTIEMBRE]])</f>
        <v>12627</v>
      </c>
      <c r="E18" s="4">
        <f>SUM(Tabla6[[#This Row],[OCTUBRE]:[DICIEMBRE]])</f>
        <v>14144</v>
      </c>
    </row>
    <row r="19" spans="1:5" x14ac:dyDescent="0.25">
      <c r="A19" t="s">
        <v>19</v>
      </c>
      <c r="B19" s="4">
        <f>SUM(Tabla6[[#This Row],[ENERO]:[MARZO]])</f>
        <v>40906</v>
      </c>
      <c r="C19" s="4">
        <f>SUM(Tabla6[[#This Row],[ABRIL]:[JUNIO]])</f>
        <v>25424</v>
      </c>
      <c r="D19" s="4">
        <f>SUM(Tabla6[[#This Row],[JULIO]:[SEPTIEMBRE]])</f>
        <v>26058</v>
      </c>
      <c r="E19" s="4">
        <f>SUM(Tabla6[[#This Row],[OCTUBRE]:[DICIEMBRE]])</f>
        <v>37594</v>
      </c>
    </row>
    <row r="20" spans="1:5" x14ac:dyDescent="0.25">
      <c r="A20" t="s">
        <v>20</v>
      </c>
      <c r="B20" s="4">
        <f>SUM(Tabla6[[#This Row],[ENERO]:[MARZO]])</f>
        <v>0</v>
      </c>
      <c r="C20" s="4">
        <f>SUM(Tabla6[[#This Row],[ABRIL]:[JUNIO]])</f>
        <v>0</v>
      </c>
      <c r="D20" s="4">
        <f>SUM(Tabla6[[#This Row],[JULIO]:[SEPTIEMBRE]])</f>
        <v>0</v>
      </c>
      <c r="E20" s="4">
        <f>SUM(Tabla6[[#This Row],[OCTUBRE]:[DICIEMBRE]])</f>
        <v>0</v>
      </c>
    </row>
    <row r="22" spans="1:5" x14ac:dyDescent="0.25">
      <c r="B22" s="8">
        <f>+SUM(B12:B19)</f>
        <v>334245</v>
      </c>
      <c r="C22" s="8">
        <f>+SUM(C12:C19)</f>
        <v>176967</v>
      </c>
      <c r="D22" s="8">
        <f>+SUM(D12:D19)</f>
        <v>222487</v>
      </c>
      <c r="E22" s="8">
        <f>+SUM(E12:E19)</f>
        <v>255787</v>
      </c>
    </row>
    <row r="23" spans="1:5" x14ac:dyDescent="0.25">
      <c r="A23" s="9">
        <v>2024</v>
      </c>
      <c r="B23" s="9" t="s">
        <v>28</v>
      </c>
      <c r="C23" s="9" t="s">
        <v>29</v>
      </c>
      <c r="D23" s="9" t="s">
        <v>30</v>
      </c>
      <c r="E23" s="9" t="s">
        <v>31</v>
      </c>
    </row>
    <row r="24" spans="1:5" x14ac:dyDescent="0.25">
      <c r="A24" t="s">
        <v>13</v>
      </c>
      <c r="B24" s="4">
        <f>SUM(Tabla6[[#This Row],[ENERO]:[MARZO]])</f>
        <v>104536</v>
      </c>
      <c r="C24" s="4">
        <f>SUM(Tabla6[[#This Row],[ABRIL]:[JUNIO]])</f>
        <v>90865</v>
      </c>
      <c r="D24" s="4">
        <f>SUM(Tabla6[[#This Row],[JULIO]:[SEPTIEMBRE]])</f>
        <v>111558</v>
      </c>
      <c r="E24" s="4">
        <f>SUM(Tabla6[[#This Row],[OCTUBRE]:[DICIEMBRE]])</f>
        <v>92947</v>
      </c>
    </row>
    <row r="25" spans="1:5" x14ac:dyDescent="0.25">
      <c r="A25" t="s">
        <v>14</v>
      </c>
      <c r="B25" s="4">
        <f>SUM(Tabla6[[#This Row],[ENERO]:[MARZO]])</f>
        <v>15890</v>
      </c>
      <c r="C25" s="4">
        <f>SUM(Tabla6[[#This Row],[ABRIL]:[JUNIO]])</f>
        <v>16395</v>
      </c>
      <c r="D25" s="4">
        <f>SUM(Tabla6[[#This Row],[JULIO]:[SEPTIEMBRE]])</f>
        <v>19715</v>
      </c>
      <c r="E25" s="4">
        <f>SUM(Tabla6[[#This Row],[OCTUBRE]:[DICIEMBRE]])</f>
        <v>13606</v>
      </c>
    </row>
    <row r="26" spans="1:5" x14ac:dyDescent="0.25">
      <c r="A26" t="s">
        <v>15</v>
      </c>
      <c r="B26" s="4">
        <f>SUM(Tabla6[[#This Row],[ENERO]:[MARZO]])</f>
        <v>6247</v>
      </c>
      <c r="C26" s="4">
        <f>SUM(Tabla6[[#This Row],[ABRIL]:[JUNIO]])</f>
        <v>7604</v>
      </c>
      <c r="D26" s="4">
        <f>SUM(Tabla6[[#This Row],[JULIO]:[SEPTIEMBRE]])</f>
        <v>13986</v>
      </c>
      <c r="E26" s="4">
        <f>SUM(Tabla6[[#This Row],[OCTUBRE]:[DICIEMBRE]])</f>
        <v>14092</v>
      </c>
    </row>
    <row r="27" spans="1:5" x14ac:dyDescent="0.25">
      <c r="A27" t="s">
        <v>16</v>
      </c>
      <c r="B27" s="4">
        <f>SUM(Tabla6[[#This Row],[ENERO]:[MARZO]])</f>
        <v>15257</v>
      </c>
      <c r="C27" s="4">
        <f>SUM(Tabla6[[#This Row],[ABRIL]:[JUNIO]])</f>
        <v>29447</v>
      </c>
      <c r="D27" s="4">
        <f>SUM(Tabla6[[#This Row],[JULIO]:[SEPTIEMBRE]])</f>
        <v>30260</v>
      </c>
      <c r="E27" s="4">
        <f>SUM(Tabla6[[#This Row],[OCTUBRE]:[DICIEMBRE]])</f>
        <v>25411</v>
      </c>
    </row>
    <row r="28" spans="1:5" x14ac:dyDescent="0.25">
      <c r="A28" t="s">
        <v>17</v>
      </c>
      <c r="B28" s="4">
        <f>SUM(Tabla6[[#This Row],[ENERO]:[MARZO]])</f>
        <v>36119</v>
      </c>
      <c r="C28" s="4">
        <f>SUM(Tabla6[[#This Row],[ABRIL]:[JUNIO]])</f>
        <v>29707</v>
      </c>
      <c r="D28" s="4">
        <f>SUM(Tabla6[[#This Row],[JULIO]:[SEPTIEMBRE]])</f>
        <v>22093</v>
      </c>
      <c r="E28" s="4">
        <f>SUM(Tabla6[[#This Row],[OCTUBRE]:[DICIEMBRE]])</f>
        <v>35140</v>
      </c>
    </row>
    <row r="29" spans="1:5" x14ac:dyDescent="0.25">
      <c r="A29" t="s">
        <v>18</v>
      </c>
      <c r="B29" s="4">
        <f>SUM(Tabla6[[#This Row],[ENERO]:[MARZO]])</f>
        <v>13803</v>
      </c>
      <c r="C29" s="4">
        <f>SUM(Tabla6[[#This Row],[ABRIL]:[JUNIO]])</f>
        <v>18189</v>
      </c>
      <c r="D29" s="4">
        <f>SUM(Tabla6[[#This Row],[JULIO]:[SEPTIEMBRE]])</f>
        <v>8777</v>
      </c>
      <c r="E29" s="4">
        <f>SUM(Tabla6[[#This Row],[OCTUBRE]:[DICIEMBRE]])</f>
        <v>15320</v>
      </c>
    </row>
    <row r="30" spans="1:5" x14ac:dyDescent="0.25">
      <c r="A30" t="s">
        <v>19</v>
      </c>
      <c r="B30" s="4">
        <f>SUM(Tabla6[[#This Row],[ENERO]:[MARZO]])</f>
        <v>26764</v>
      </c>
      <c r="C30" s="4">
        <f>SUM(Tabla6[[#This Row],[ABRIL]:[JUNIO]])</f>
        <v>34387</v>
      </c>
      <c r="D30" s="4">
        <f>SUM(Tabla6[[#This Row],[JULIO]:[SEPTIEMBRE]])</f>
        <v>33755</v>
      </c>
      <c r="E30" s="4">
        <f>SUM(Tabla6[[#This Row],[OCTUBRE]:[DICIEMBRE]])</f>
        <v>35992</v>
      </c>
    </row>
    <row r="31" spans="1:5" x14ac:dyDescent="0.25">
      <c r="A31" t="s">
        <v>20</v>
      </c>
      <c r="B31" s="4">
        <f>SUM(Tabla6[[#This Row],[ENERO]:[MARZO]])</f>
        <v>6424</v>
      </c>
      <c r="C31" s="4">
        <f>SUM(Tabla6[[#This Row],[ABRIL]:[JUNIO]])</f>
        <v>1322</v>
      </c>
      <c r="D31" s="4">
        <f>SUM(Tabla6[[#This Row],[JULIO]:[SEPTIEMBRE]])</f>
        <v>4080</v>
      </c>
      <c r="E31" s="4">
        <f>SUM(Tabla6[[#This Row],[OCTUBRE]:[DICIEMBRE]])</f>
        <v>7009</v>
      </c>
    </row>
    <row r="32" spans="1:5" x14ac:dyDescent="0.25">
      <c r="B32" s="8"/>
      <c r="C32" s="8"/>
      <c r="D32" s="8"/>
      <c r="E32" s="8">
        <f>+SUM(E24+E25+E26+E27+E28+E29+E30+E31)</f>
        <v>239517</v>
      </c>
    </row>
    <row r="34" spans="1:5" x14ac:dyDescent="0.25">
      <c r="A34" s="9">
        <v>2025</v>
      </c>
      <c r="B34" s="9" t="s">
        <v>28</v>
      </c>
      <c r="C34" s="9" t="s">
        <v>29</v>
      </c>
      <c r="D34" s="9" t="s">
        <v>30</v>
      </c>
      <c r="E34" s="9" t="s">
        <v>31</v>
      </c>
    </row>
    <row r="35" spans="1:5" x14ac:dyDescent="0.25">
      <c r="A35" t="s">
        <v>13</v>
      </c>
      <c r="B35" s="4">
        <f>SUM(Tabla6[[#This Row],[ENERO]:[MARZO]])</f>
        <v>123125</v>
      </c>
      <c r="C35" s="4">
        <f>SUM(Tabla6[[#This Row],[ABRIL]:[JUNIO]])</f>
        <v>83515</v>
      </c>
      <c r="D35" s="4">
        <f>SUM(Tabla6[[#This Row],[JULIO]:[SEPTIEMBRE]])</f>
        <v>111259</v>
      </c>
      <c r="E35" s="4">
        <f>SUM(Tabla6[[#This Row],[OCTUBRE]:[DICIEMBRE]])</f>
        <v>67351</v>
      </c>
    </row>
    <row r="36" spans="1:5" x14ac:dyDescent="0.25">
      <c r="A36" t="s">
        <v>14</v>
      </c>
      <c r="B36" s="4">
        <f>SUM(Tabla6[[#This Row],[ENERO]:[MARZO]])</f>
        <v>22900</v>
      </c>
      <c r="C36" s="4">
        <f>SUM(Tabla6[[#This Row],[ABRIL]:[JUNIO]])</f>
        <v>15619</v>
      </c>
      <c r="D36" s="4">
        <f>SUM(Tabla6[[#This Row],[JULIO]:[SEPTIEMBRE]])</f>
        <v>19678</v>
      </c>
      <c r="E36" s="4">
        <f>SUM(Tabla6[[#This Row],[OCTUBRE]:[DICIEMBRE]])</f>
        <v>18429</v>
      </c>
    </row>
    <row r="37" spans="1:5" x14ac:dyDescent="0.25">
      <c r="A37" t="s">
        <v>15</v>
      </c>
      <c r="B37" s="4">
        <f>SUM(Tabla6[[#This Row],[ENERO]:[MARZO]])</f>
        <v>8697</v>
      </c>
      <c r="C37" s="4">
        <f>SUM(Tabla6[[#This Row],[ABRIL]:[JUNIO]])</f>
        <v>15447</v>
      </c>
      <c r="D37" s="4">
        <f>SUM(Tabla6[[#This Row],[JULIO]:[SEPTIEMBRE]])</f>
        <v>8422</v>
      </c>
      <c r="E37" s="4">
        <f>SUM(Tabla6[[#This Row],[OCTUBRE]:[DICIEMBRE]])</f>
        <v>13129</v>
      </c>
    </row>
    <row r="38" spans="1:5" x14ac:dyDescent="0.25">
      <c r="A38" t="s">
        <v>16</v>
      </c>
      <c r="B38" s="4">
        <f>SUM(Tabla6[[#This Row],[ENERO]:[MARZO]])</f>
        <v>12297</v>
      </c>
      <c r="C38" s="4">
        <f>SUM(Tabla6[[#This Row],[ABRIL]:[JUNIO]])</f>
        <v>22362</v>
      </c>
      <c r="D38" s="4">
        <f>SUM(Tabla6[[#This Row],[JULIO]:[SEPTIEMBRE]])</f>
        <v>24865</v>
      </c>
      <c r="E38" s="4">
        <f>SUM(Tabla6[[#This Row],[OCTUBRE]:[DICIEMBRE]])</f>
        <v>19007</v>
      </c>
    </row>
    <row r="39" spans="1:5" x14ac:dyDescent="0.25">
      <c r="A39" t="s">
        <v>17</v>
      </c>
      <c r="B39" s="4">
        <f>SUM(Tabla6[[#This Row],[ENERO]:[MARZO]])</f>
        <v>27249</v>
      </c>
      <c r="C39" s="4">
        <f>SUM(Tabla6[[#This Row],[ABRIL]:[JUNIO]])</f>
        <v>7897</v>
      </c>
      <c r="D39" s="4">
        <f>SUM(Tabla6[[#This Row],[JULIO]:[SEPTIEMBRE]])</f>
        <v>0</v>
      </c>
      <c r="E39" s="4">
        <f>SUM(Tabla6[[#This Row],[OCTUBRE]:[DICIEMBRE]])</f>
        <v>0</v>
      </c>
    </row>
    <row r="40" spans="1:5" x14ac:dyDescent="0.25">
      <c r="A40" t="s">
        <v>18</v>
      </c>
      <c r="B40" s="4">
        <f>SUM(Tabla6[[#This Row],[ENERO]:[MARZO]])</f>
        <v>16105</v>
      </c>
      <c r="C40" s="4">
        <f>SUM(Tabla6[[#This Row],[ABRIL]:[JUNIO]])</f>
        <v>11302</v>
      </c>
      <c r="D40" s="4">
        <f>SUM(Tabla6[[#This Row],[JULIO]:[SEPTIEMBRE]])</f>
        <v>12225</v>
      </c>
      <c r="E40" s="4">
        <f>SUM(Tabla6[[#This Row],[OCTUBRE]:[DICIEMBRE]])</f>
        <v>8176</v>
      </c>
    </row>
    <row r="41" spans="1:5" x14ac:dyDescent="0.25">
      <c r="A41" t="s">
        <v>19</v>
      </c>
      <c r="B41" s="4">
        <f>SUM(Tabla6[[#This Row],[ENERO]:[MARZO]])</f>
        <v>31104</v>
      </c>
      <c r="C41" s="4">
        <f>SUM(Tabla6[[#This Row],[ABRIL]:[JUNIO]])</f>
        <v>21142</v>
      </c>
      <c r="D41" s="4">
        <f>SUM(Tabla6[[#This Row],[JULIO]:[SEPTIEMBRE]])</f>
        <v>31818</v>
      </c>
      <c r="E41" s="4">
        <f>SUM(Tabla6[[#This Row],[OCTUBRE]:[DICIEMBRE]])</f>
        <v>31996</v>
      </c>
    </row>
    <row r="42" spans="1:5" x14ac:dyDescent="0.25">
      <c r="A42" t="s">
        <v>20</v>
      </c>
      <c r="B42" s="4">
        <f>SUM(Tabla6[[#This Row],[ENERO]:[MARZO]])</f>
        <v>356</v>
      </c>
      <c r="C42" s="4">
        <f>SUM(Tabla6[[#This Row],[ABRIL]:[JUNIO]])</f>
        <v>4172</v>
      </c>
      <c r="D42" s="4">
        <f>SUM(Tabla6[[#This Row],[JULIO]:[SEPTIEMBRE]])</f>
        <v>2696</v>
      </c>
      <c r="E42" s="4">
        <f>SUM(Tabla6[[#This Row],[OCTUBRE]:[DICIEMBRE]])</f>
        <v>1961</v>
      </c>
    </row>
    <row r="44" spans="1:5" x14ac:dyDescent="0.25">
      <c r="A44" s="47">
        <v>2026</v>
      </c>
      <c r="B44" s="48" t="s">
        <v>28</v>
      </c>
      <c r="C44" s="48" t="s">
        <v>29</v>
      </c>
      <c r="D44" s="48" t="s">
        <v>30</v>
      </c>
      <c r="E44" s="49" t="s">
        <v>31</v>
      </c>
    </row>
    <row r="45" spans="1:5" x14ac:dyDescent="0.25">
      <c r="A45" s="5" t="s">
        <v>13</v>
      </c>
      <c r="B45" s="11">
        <f>+SUM('MENSUAL COMERCIALES'!B49:D49)</f>
        <v>112544</v>
      </c>
      <c r="C45" s="11">
        <f>+SUM('MENSUAL COMERCIALES'!C49:E49)</f>
        <v>90532</v>
      </c>
      <c r="D45" s="11"/>
      <c r="E45" s="11"/>
    </row>
    <row r="46" spans="1:5" x14ac:dyDescent="0.25">
      <c r="A46" s="38" t="s">
        <v>14</v>
      </c>
      <c r="B46" s="11">
        <f>+SUM('MENSUAL COMERCIALES'!B50:D50)</f>
        <v>14950</v>
      </c>
      <c r="C46" s="11">
        <f>+SUM('MENSUAL COMERCIALES'!C50:E50)</f>
        <v>13207</v>
      </c>
      <c r="D46" s="10"/>
      <c r="E46" s="44"/>
    </row>
    <row r="47" spans="1:5" x14ac:dyDescent="0.25">
      <c r="A47" s="5" t="s">
        <v>15</v>
      </c>
      <c r="B47" s="11">
        <f>+SUM('MENSUAL COMERCIALES'!B51:D51)</f>
        <v>12102</v>
      </c>
      <c r="C47" s="11">
        <f>+SUM('MENSUAL COMERCIALES'!C51:E51)</f>
        <v>15356</v>
      </c>
      <c r="D47" s="11"/>
      <c r="E47" s="43"/>
    </row>
    <row r="48" spans="1:5" x14ac:dyDescent="0.25">
      <c r="A48" s="38" t="s">
        <v>16</v>
      </c>
      <c r="B48" s="11">
        <f>+SUM('MENSUAL COMERCIALES'!B52:D52)</f>
        <v>17685</v>
      </c>
      <c r="C48" s="11">
        <f>+SUM('MENSUAL COMERCIALES'!C52:E52)</f>
        <v>14580</v>
      </c>
      <c r="D48" s="10"/>
      <c r="E48" s="44"/>
    </row>
    <row r="49" spans="1:5" x14ac:dyDescent="0.25">
      <c r="A49" s="38" t="s">
        <v>18</v>
      </c>
      <c r="B49" s="11">
        <f>+SUM('MENSUAL COMERCIALES'!B53:D53)</f>
        <v>16550</v>
      </c>
      <c r="C49" s="11">
        <f>+SUM('MENSUAL COMERCIALES'!C53:E53)</f>
        <v>16196</v>
      </c>
      <c r="D49" s="11"/>
      <c r="E49" s="43"/>
    </row>
    <row r="50" spans="1:5" x14ac:dyDescent="0.25">
      <c r="A50" s="5" t="s">
        <v>19</v>
      </c>
      <c r="B50" s="11">
        <f>+SUM('MENSUAL COMERCIALES'!B54:D54)</f>
        <v>37796</v>
      </c>
      <c r="C50" s="11">
        <f>+SUM('MENSUAL COMERCIALES'!C54:E54)</f>
        <v>37204</v>
      </c>
      <c r="D50" s="10"/>
      <c r="E50" s="44"/>
    </row>
    <row r="51" spans="1:5" x14ac:dyDescent="0.25">
      <c r="A51" s="38" t="s">
        <v>20</v>
      </c>
      <c r="B51" s="11">
        <f>+SUM('MENSUAL COMERCIALES'!B55:D55)</f>
        <v>5471</v>
      </c>
      <c r="C51" s="11">
        <f>+SUM('MENSUAL COMERCIALES'!C55:E55)</f>
        <v>4472</v>
      </c>
      <c r="D51" s="11"/>
      <c r="E51" s="43"/>
    </row>
    <row r="52" spans="1:5" x14ac:dyDescent="0.25">
      <c r="A52" s="5" t="s">
        <v>34</v>
      </c>
      <c r="B52" s="11">
        <f>+SUM('MENSUAL COMERCIALES'!B56:D56)</f>
        <v>29623</v>
      </c>
      <c r="C52" s="11">
        <f>+SUM('MENSUAL COMERCIALES'!C56:E56)</f>
        <v>29673</v>
      </c>
      <c r="D52" s="10"/>
      <c r="E52" s="44"/>
    </row>
    <row r="53" spans="1:5" x14ac:dyDescent="0.25">
      <c r="A53" s="5" t="s">
        <v>35</v>
      </c>
      <c r="B53" s="11">
        <f>+SUM('MENSUAL COMERCIALES'!B57:D57)</f>
        <v>8202</v>
      </c>
      <c r="C53" s="11">
        <f>+SUM('MENSUAL COMERCIALES'!C57:E57)</f>
        <v>5421</v>
      </c>
    </row>
    <row r="54" spans="1:5" x14ac:dyDescent="0.25">
      <c r="B54" s="1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9128-AA10-4979-AEEB-858CC71006E1}">
  <dimension ref="A1:F16"/>
  <sheetViews>
    <sheetView zoomScale="80" zoomScaleNormal="80" workbookViewId="0">
      <selection activeCell="F11" sqref="F11"/>
    </sheetView>
  </sheetViews>
  <sheetFormatPr baseColWidth="10" defaultColWidth="11.42578125" defaultRowHeight="15" x14ac:dyDescent="0.25"/>
  <cols>
    <col min="1" max="1" width="15.140625" customWidth="1"/>
    <col min="2" max="2" width="17.140625" customWidth="1"/>
    <col min="3" max="3" width="14.7109375" customWidth="1"/>
    <col min="4" max="5" width="12.28515625" customWidth="1"/>
    <col min="6" max="6" width="12.140625" customWidth="1"/>
    <col min="7" max="7" width="12.85546875" customWidth="1"/>
    <col min="8" max="8" width="12.28515625" customWidth="1"/>
  </cols>
  <sheetData>
    <row r="1" spans="1:6" x14ac:dyDescent="0.25">
      <c r="A1" s="5"/>
    </row>
    <row r="2" spans="1:6" x14ac:dyDescent="0.25">
      <c r="A2" s="6" t="s">
        <v>33</v>
      </c>
      <c r="B2" t="s">
        <v>0</v>
      </c>
      <c r="C2" t="s">
        <v>25</v>
      </c>
      <c r="D2" t="s">
        <v>26</v>
      </c>
      <c r="E2" t="s">
        <v>27</v>
      </c>
      <c r="F2" t="s">
        <v>37</v>
      </c>
    </row>
    <row r="3" spans="1:6" x14ac:dyDescent="0.25">
      <c r="A3" s="6" t="s">
        <v>13</v>
      </c>
      <c r="B3" s="4">
        <v>533025</v>
      </c>
      <c r="C3" s="4">
        <v>399424</v>
      </c>
      <c r="D3" s="4">
        <v>399906</v>
      </c>
      <c r="E3" s="4">
        <f>SUM('MENSUAL COMERCIALES'!B35:M35)</f>
        <v>385250</v>
      </c>
      <c r="F3" s="4">
        <f>+SUM('MENSUAL COMERCIALES'!B49:M49)</f>
        <v>269656</v>
      </c>
    </row>
    <row r="4" spans="1:6" x14ac:dyDescent="0.25">
      <c r="A4" s="7" t="s">
        <v>14</v>
      </c>
      <c r="B4" s="4">
        <v>73148</v>
      </c>
      <c r="C4" s="4">
        <v>71003</v>
      </c>
      <c r="D4" s="4">
        <v>65606</v>
      </c>
      <c r="E4" s="4">
        <f>SUM('MENSUAL COMERCIALES'!B36:M36)</f>
        <v>76626</v>
      </c>
      <c r="F4" s="4">
        <f>+SUM('MENSUAL COMERCIALES'!B50:M50)</f>
        <v>38977</v>
      </c>
    </row>
    <row r="5" spans="1:6" x14ac:dyDescent="0.25">
      <c r="A5" s="6" t="s">
        <v>15</v>
      </c>
      <c r="B5" s="4">
        <v>52350</v>
      </c>
      <c r="C5" s="4">
        <v>59622</v>
      </c>
      <c r="D5" s="4">
        <v>41929</v>
      </c>
      <c r="E5" s="4">
        <f>SUM('MENSUAL COMERCIALES'!B37:M37)</f>
        <v>45695</v>
      </c>
      <c r="F5" s="4">
        <f>+SUM('MENSUAL COMERCIALES'!B51:M51)</f>
        <v>35818</v>
      </c>
    </row>
    <row r="6" spans="1:6" x14ac:dyDescent="0.25">
      <c r="A6" s="7" t="s">
        <v>16</v>
      </c>
      <c r="B6" s="4">
        <v>144777</v>
      </c>
      <c r="C6" s="4">
        <v>104583</v>
      </c>
      <c r="D6" s="4">
        <v>100375</v>
      </c>
      <c r="E6" s="4">
        <f>SUM('MENSUAL COMERCIALES'!B38:M38)</f>
        <v>78531</v>
      </c>
      <c r="F6" s="4">
        <f>+SUM('MENSUAL COMERCIALES'!B52:M52)</f>
        <v>64978</v>
      </c>
    </row>
    <row r="7" spans="1:6" x14ac:dyDescent="0.25">
      <c r="A7" s="6" t="s">
        <v>17</v>
      </c>
      <c r="B7" s="4">
        <v>169281</v>
      </c>
      <c r="C7" s="4">
        <v>168439</v>
      </c>
      <c r="D7" s="4">
        <v>123059</v>
      </c>
      <c r="E7" s="4">
        <f>SUM('MENSUAL COMERCIALES'!B39:M39)</f>
        <v>35146</v>
      </c>
      <c r="F7" s="4">
        <f>+SUM('MENSUAL COMERCIALES'!B53:M53)</f>
        <v>50349</v>
      </c>
    </row>
    <row r="8" spans="1:6" x14ac:dyDescent="0.25">
      <c r="A8" s="7" t="s">
        <v>18</v>
      </c>
      <c r="B8" s="4">
        <v>79845</v>
      </c>
      <c r="C8" s="4">
        <v>56433</v>
      </c>
      <c r="D8" s="4">
        <v>56089</v>
      </c>
      <c r="E8" s="4">
        <f>SUM('MENSUAL COMERCIALES'!B40:M40)</f>
        <v>47808</v>
      </c>
      <c r="F8" s="4">
        <f>+SUM('MENSUAL COMERCIALES'!B54:M54)</f>
        <v>129576</v>
      </c>
    </row>
    <row r="9" spans="1:6" x14ac:dyDescent="0.25">
      <c r="A9" s="6" t="s">
        <v>19</v>
      </c>
      <c r="B9" s="4">
        <v>180531</v>
      </c>
      <c r="C9" s="4">
        <v>129982</v>
      </c>
      <c r="D9" s="4">
        <v>130898</v>
      </c>
      <c r="E9" s="4">
        <f>SUM('MENSUAL COMERCIALES'!B41:M41)</f>
        <v>116060</v>
      </c>
      <c r="F9" s="4">
        <f>+SUM('MENSUAL COMERCIALES'!B55:M55)</f>
        <v>11832</v>
      </c>
    </row>
    <row r="10" spans="1:6" x14ac:dyDescent="0.25">
      <c r="A10" s="7" t="s">
        <v>20</v>
      </c>
      <c r="B10" s="8">
        <v>0</v>
      </c>
      <c r="C10" s="4">
        <v>0</v>
      </c>
      <c r="D10" s="4">
        <v>18835</v>
      </c>
      <c r="E10" s="4">
        <f>SUM('MENSUAL COMERCIALES'!B42:M42)</f>
        <v>9185</v>
      </c>
      <c r="F10" s="4">
        <f>+SUM('MENSUAL COMERCIALES'!B55:M55)</f>
        <v>11832</v>
      </c>
    </row>
    <row r="11" spans="1:6" x14ac:dyDescent="0.25">
      <c r="A11" s="35" t="s">
        <v>34</v>
      </c>
      <c r="B11" s="8">
        <f>SUM(Tabla6[[#This Row],[ENERO]:[DICIEMBRE]])</f>
        <v>0</v>
      </c>
      <c r="C11" s="36"/>
      <c r="D11" s="36"/>
      <c r="E11" s="4">
        <f>SUM('MENSUAL COMERCIALES'!B43:M43)</f>
        <v>66012</v>
      </c>
      <c r="F11" s="4">
        <f>+SUM('MENSUAL COMERCIALES'!B56:M56)</f>
        <v>76395</v>
      </c>
    </row>
    <row r="12" spans="1:6" x14ac:dyDescent="0.25">
      <c r="A12" s="35"/>
      <c r="B12" s="8"/>
      <c r="C12" s="36"/>
      <c r="D12" s="36"/>
      <c r="E12" s="36"/>
      <c r="F12" s="36">
        <f>+SUM(Tabla1[2026])</f>
        <v>689413</v>
      </c>
    </row>
    <row r="14" spans="1:6" x14ac:dyDescent="0.25">
      <c r="D14" s="37"/>
      <c r="E14" s="37"/>
    </row>
    <row r="15" spans="1:6" x14ac:dyDescent="0.25">
      <c r="B15" s="8"/>
      <c r="C15" s="8"/>
      <c r="E15" s="37"/>
    </row>
    <row r="16" spans="1:6" x14ac:dyDescent="0.25">
      <c r="C16" s="8"/>
      <c r="E16" s="3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91CF-1DE0-4C8D-87B5-376F636866F3}">
  <dimension ref="A1"/>
  <sheetViews>
    <sheetView workbookViewId="0">
      <selection activeCell="H15" sqref="H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5BF8-313E-47D3-8EFF-208506BDA4DC}">
  <dimension ref="A1:N30"/>
  <sheetViews>
    <sheetView workbookViewId="0">
      <selection activeCell="I6" sqref="I6"/>
    </sheetView>
  </sheetViews>
  <sheetFormatPr baseColWidth="10" defaultColWidth="11.42578125" defaultRowHeight="15" x14ac:dyDescent="0.25"/>
  <cols>
    <col min="1" max="4" width="12.28515625" customWidth="1"/>
    <col min="6" max="6" width="17.7109375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7" t="s">
        <v>1</v>
      </c>
      <c r="B3" s="17">
        <f>'MENSUAL COMERCIALES'!B13-'MENSUAL COMERCIALES'!B2</f>
        <v>-2378</v>
      </c>
      <c r="C3" s="10">
        <f>'MENSUAL COMERCIALES'!B24-'MENSUAL COMERCIALES'!B13</f>
        <v>-9291</v>
      </c>
      <c r="D3" s="10">
        <f>'MENSUAL COMERCIALES'!B35-'MENSUAL COMERCIALES'!B24</f>
        <v>15554</v>
      </c>
      <c r="F3" s="7" t="s">
        <v>28</v>
      </c>
      <c r="G3" s="10">
        <f>'TRIMESTRAL COMERCIALES'!B13-'TRIMESTRAL COMERCIALES'!B2</f>
        <v>-84509</v>
      </c>
      <c r="H3" s="10">
        <f>'TRIMESTRAL COMERCIALES'!B24-'TRIMESTRAL COMERCIALES'!B13</f>
        <v>-27058</v>
      </c>
      <c r="I3" s="10">
        <f>+'TRIMESTRAL COMERCIALES'!B35-'TRIMESTRAL COMERCIALES'!B24</f>
        <v>18589</v>
      </c>
      <c r="K3" s="7" t="s">
        <v>23</v>
      </c>
      <c r="L3" s="10">
        <f>Tabla1[[#This Row],[2023]]-Tabla1[[#This Row],[2022]]</f>
        <v>-133601</v>
      </c>
      <c r="M3" s="10">
        <f>Tabla1[[#This Row],[2024]]-Tabla1[[#This Row],[2023]]</f>
        <v>482</v>
      </c>
      <c r="N3" s="10">
        <f>Tabla1[[#This Row],[2025]]-Tabla1[[#This Row],[2024]]</f>
        <v>-14656</v>
      </c>
    </row>
    <row r="4" spans="1:14" x14ac:dyDescent="0.25">
      <c r="A4" s="6" t="s">
        <v>2</v>
      </c>
      <c r="B4" s="11">
        <f>'MENSUAL COMERCIALES'!C13-'MENSUAL COMERCIALES'!C2</f>
        <v>-83008</v>
      </c>
      <c r="C4" s="11">
        <f>'MENSUAL COMERCIALES'!C24-'MENSUAL COMERCIALES'!C13</f>
        <v>12108</v>
      </c>
      <c r="D4" s="11">
        <f>'MENSUAL COMERCIALES'!C35-'MENSUAL COMERCIALES'!C24</f>
        <v>-18577</v>
      </c>
      <c r="F4" s="6" t="s">
        <v>29</v>
      </c>
      <c r="G4" s="11">
        <f>'TRIMESTRAL COMERCIALES'!C13-'TRIMESTRAL COMERCIALES'!C2</f>
        <v>-41350</v>
      </c>
      <c r="H4" s="11">
        <f>'TRIMESTRAL COMERCIALES'!E24-'TRIMESTRAL COMERCIALES'!E13</f>
        <v>-4436</v>
      </c>
      <c r="I4" s="10">
        <f>+'TRIMESTRAL COMERCIALES'!C35-'TRIMESTRAL COMERCIALES'!C24</f>
        <v>-7350</v>
      </c>
      <c r="K4" s="6"/>
      <c r="L4" s="11"/>
      <c r="M4" s="11"/>
      <c r="N4" s="11"/>
    </row>
    <row r="5" spans="1:14" x14ac:dyDescent="0.25">
      <c r="A5" s="7" t="s">
        <v>3</v>
      </c>
      <c r="B5" s="10">
        <f>'MENSUAL COMERCIALES'!D13-'MENSUAL COMERCIALES'!D2</f>
        <v>877</v>
      </c>
      <c r="C5" s="10">
        <f>'MENSUAL COMERCIALES'!D24-'MENSUAL COMERCIALES'!D13</f>
        <v>-29875</v>
      </c>
      <c r="D5" s="10">
        <f>'MENSUAL COMERCIALES'!D35-'MENSUAL COMERCIALES'!D24</f>
        <v>21612</v>
      </c>
      <c r="F5" s="7" t="s">
        <v>30</v>
      </c>
      <c r="G5" s="10">
        <f>'TRIMESTRAL COMERCIALES'!D13-'TRIMESTRAL COMERCIALES'!D2</f>
        <v>-8574</v>
      </c>
      <c r="H5" s="10">
        <f>'TRIMESTRAL COMERCIALES'!D24-'TRIMESTRAL COMERCIALES'!D13</f>
        <v>16595</v>
      </c>
      <c r="I5" s="10">
        <f>+'TRIMESTRAL COMERCIALES'!D35-'TRIMESTRAL COMERCIALES'!D24</f>
        <v>-299</v>
      </c>
      <c r="K5" s="7"/>
      <c r="L5" s="10"/>
      <c r="M5" s="10"/>
      <c r="N5" s="10"/>
    </row>
    <row r="6" spans="1:14" x14ac:dyDescent="0.25">
      <c r="A6" s="6" t="s">
        <v>4</v>
      </c>
      <c r="B6" s="11">
        <f>'MENSUAL COMERCIALES'!E13-'MENSUAL COMERCIALES'!E2</f>
        <v>-27208</v>
      </c>
      <c r="C6" s="11">
        <f>'MENSUAL COMERCIALES'!E24-'MENSUAL COMERCIALES'!E13</f>
        <v>31082</v>
      </c>
      <c r="D6" s="11">
        <f>'MENSUAL COMERCIALES'!E35-'MENSUAL COMERCIALES'!E24</f>
        <v>-25715</v>
      </c>
      <c r="F6" s="6" t="s">
        <v>31</v>
      </c>
      <c r="G6" s="11">
        <f>'TRIMESTRAL COMERCIALES'!E13-'TRIMESTRAL COMERCIALES'!E2</f>
        <v>832</v>
      </c>
      <c r="H6" s="11">
        <f>'TRIMESTRAL COMERCIALES'!E24-'TRIMESTRAL COMERCIALES'!E13</f>
        <v>-4436</v>
      </c>
      <c r="I6" s="10">
        <f>+'TRIMESTRAL COMERCIALES'!B38-'TRIMESTRAL COMERCIALES'!B27</f>
        <v>-2960</v>
      </c>
      <c r="K6" s="6"/>
      <c r="L6" s="11"/>
      <c r="M6" s="11"/>
      <c r="N6" s="11"/>
    </row>
    <row r="7" spans="1:14" x14ac:dyDescent="0.25">
      <c r="A7" s="7" t="s">
        <v>5</v>
      </c>
      <c r="B7" s="11">
        <f>'MENSUAL COMERCIALES'!F13-'MENSUAL COMERCIALES'!F2</f>
        <v>12592</v>
      </c>
      <c r="C7" s="11">
        <f>'MENSUAL COMERCIALES'!F24-'MENSUAL COMERCIALES'!F13</f>
        <v>-16298</v>
      </c>
      <c r="D7" s="10">
        <f>'MENSUAL COMERCIALES'!F35-'MENSUAL COMERCIALES'!F24</f>
        <v>-10494</v>
      </c>
      <c r="F7" s="7"/>
      <c r="G7" s="10"/>
      <c r="H7" s="10"/>
      <c r="I7" s="10"/>
      <c r="K7" s="7"/>
      <c r="L7" s="10"/>
      <c r="M7" s="10"/>
      <c r="N7" s="10"/>
    </row>
    <row r="8" spans="1:14" x14ac:dyDescent="0.25">
      <c r="A8" s="6" t="s">
        <v>6</v>
      </c>
      <c r="B8" s="11">
        <f>'MENSUAL COMERCIALES'!G13-'MENSUAL COMERCIALES'!G2</f>
        <v>-26734</v>
      </c>
      <c r="C8" s="11">
        <f>'MENSUAL COMERCIALES'!G24-'MENSUAL COMERCIALES'!G13</f>
        <v>597</v>
      </c>
      <c r="D8" s="11">
        <f>'MENSUAL COMERCIALES'!G35-'MENSUAL COMERCIALES'!G24</f>
        <v>28859</v>
      </c>
      <c r="F8" s="6"/>
      <c r="G8" s="11"/>
      <c r="H8" s="11"/>
      <c r="I8" s="11"/>
      <c r="K8" s="6"/>
      <c r="L8" s="11"/>
      <c r="M8" s="11"/>
      <c r="N8" s="11"/>
    </row>
    <row r="9" spans="1:14" x14ac:dyDescent="0.25">
      <c r="A9" s="7" t="s">
        <v>7</v>
      </c>
      <c r="B9" s="11">
        <f>'MENSUAL COMERCIALES'!H13-'MENSUAL COMERCIALES'!H2</f>
        <v>-19163</v>
      </c>
      <c r="C9" s="11">
        <f>'MENSUAL COMERCIALES'!H24-'MENSUAL COMERCIALES'!H13</f>
        <v>-13610</v>
      </c>
      <c r="D9" s="10">
        <f>'MENSUAL COMERCIALES'!H35-'MENSUAL COMERCIALES'!H24</f>
        <v>14361</v>
      </c>
      <c r="F9" s="7"/>
      <c r="G9" s="10"/>
      <c r="H9" s="10"/>
      <c r="I9" s="10"/>
      <c r="K9" s="7"/>
      <c r="L9" s="10"/>
      <c r="M9" s="10"/>
      <c r="N9" s="10"/>
    </row>
    <row r="10" spans="1:14" x14ac:dyDescent="0.25">
      <c r="A10" s="6" t="s">
        <v>8</v>
      </c>
      <c r="B10" s="11">
        <f>'MENSUAL COMERCIALES'!I13-'MENSUAL COMERCIALES'!I2</f>
        <v>-10931</v>
      </c>
      <c r="C10" s="11">
        <f>'MENSUAL COMERCIALES'!I24-'MENSUAL COMERCIALES'!I13</f>
        <v>48721</v>
      </c>
      <c r="D10" s="11">
        <f>'MENSUAL COMERCIALES'!I35-'MENSUAL COMERCIALES'!I24</f>
        <v>-35992</v>
      </c>
      <c r="F10" s="6"/>
      <c r="G10" s="11"/>
      <c r="H10" s="11"/>
      <c r="I10" s="11"/>
      <c r="K10" s="6"/>
      <c r="L10" s="11"/>
      <c r="M10" s="11"/>
      <c r="N10" s="11"/>
    </row>
    <row r="11" spans="1:14" x14ac:dyDescent="0.25">
      <c r="A11" s="12" t="s">
        <v>9</v>
      </c>
      <c r="B11" s="11">
        <f>'MENSUAL COMERCIALES'!J13-'MENSUAL COMERCIALES'!J2</f>
        <v>21520</v>
      </c>
      <c r="C11" s="11">
        <f>'MENSUAL COMERCIALES'!J24-'MENSUAL COMERCIALES'!J13</f>
        <v>-18516</v>
      </c>
      <c r="D11" s="8">
        <f>'MENSUAL COMERCIALES'!J35-'MENSUAL COMERCIALES'!J24</f>
        <v>21332</v>
      </c>
      <c r="F11" s="12"/>
      <c r="G11" s="8"/>
      <c r="H11" s="8"/>
      <c r="I11" s="8"/>
      <c r="K11" s="12"/>
      <c r="L11" s="8"/>
      <c r="M11" s="8"/>
      <c r="N11" s="8"/>
    </row>
    <row r="12" spans="1:14" x14ac:dyDescent="0.25">
      <c r="A12" t="s">
        <v>10</v>
      </c>
      <c r="B12" s="11">
        <f>'MENSUAL COMERCIALES'!K13-'MENSUAL COMERCIALES'!K2</f>
        <v>1566</v>
      </c>
      <c r="C12" s="11">
        <f>'MENSUAL COMERCIALES'!K24-'MENSUAL COMERCIALES'!K13</f>
        <v>-1070</v>
      </c>
      <c r="D12" s="8">
        <f>'MENSUAL COMERCIALES'!K35-'MENSUAL COMERCIALES'!K24</f>
        <v>-15241</v>
      </c>
      <c r="G12" s="8"/>
      <c r="H12" s="8"/>
      <c r="I12" s="8"/>
      <c r="L12" s="8"/>
      <c r="M12" s="8"/>
      <c r="N12" s="8"/>
    </row>
    <row r="13" spans="1:14" x14ac:dyDescent="0.25">
      <c r="A13" s="12" t="s">
        <v>11</v>
      </c>
      <c r="B13" s="11">
        <f>Tabla6[[#This Row],[NOVIEMBRE]]-'MENSUAL COMERCIALES'!L2</f>
        <v>1218</v>
      </c>
      <c r="C13" s="11">
        <f>'MENSUAL COMERCIALES'!L24-Tabla6[[#This Row],[NOVIEMBRE]]</f>
        <v>-9905</v>
      </c>
      <c r="D13" s="8">
        <f>'MENSUAL COMERCIALES'!L35-'MENSUAL COMERCIALES'!L24</f>
        <v>-6941</v>
      </c>
      <c r="F13" s="12"/>
      <c r="G13" s="8"/>
      <c r="H13" s="8"/>
      <c r="I13" s="8"/>
      <c r="K13" s="12"/>
      <c r="L13" s="8"/>
      <c r="M13" s="8"/>
      <c r="N13" s="8"/>
    </row>
    <row r="14" spans="1:14" x14ac:dyDescent="0.25">
      <c r="A14" t="s">
        <v>12</v>
      </c>
      <c r="B14" s="11">
        <f>'MENSUAL COMERCIALES'!M13-'MENSUAL COMERCIALES'!M2</f>
        <v>-1952</v>
      </c>
      <c r="C14" s="11">
        <f>'MENSUAL COMERCIALES'!M24-'MENSUAL COMERCIALES'!M13</f>
        <v>6539</v>
      </c>
      <c r="D14" s="8">
        <f>'MENSUAL COMERCIALES'!M35-'MENSUAL COMERCIALES'!M24</f>
        <v>-3414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13" t="s">
        <v>32</v>
      </c>
      <c r="B18" s="13" t="s">
        <v>25</v>
      </c>
      <c r="C18" s="13" t="s">
        <v>26</v>
      </c>
      <c r="D18" s="13" t="s">
        <v>27</v>
      </c>
      <c r="F18" s="13" t="s">
        <v>32</v>
      </c>
      <c r="G18" s="13" t="s">
        <v>25</v>
      </c>
      <c r="H18" s="13" t="s">
        <v>26</v>
      </c>
      <c r="I18" s="13" t="s">
        <v>27</v>
      </c>
      <c r="K18" s="13" t="s">
        <v>32</v>
      </c>
      <c r="L18" s="13" t="s">
        <v>25</v>
      </c>
      <c r="M18" s="13" t="s">
        <v>26</v>
      </c>
      <c r="N18" s="13" t="s">
        <v>27</v>
      </c>
    </row>
    <row r="19" spans="1:14" x14ac:dyDescent="0.25">
      <c r="A19" s="7" t="s">
        <v>1</v>
      </c>
      <c r="B19" s="19">
        <f>('MENSUAL COMERCIALES'!B13-'MENSUAL COMERCIALES'!B2)/'MENSUAL COMERCIALES'!B2</f>
        <v>-4.6436242921304431E-2</v>
      </c>
      <c r="C19" s="19">
        <f>('MENSUAL COMERCIALES'!B24-'MENSUAL COMERCIALES'!B13)/'MENSUAL COMERCIALES'!B13</f>
        <v>-0.19026458060288334</v>
      </c>
      <c r="D19" s="14">
        <f>('MENSUAL COMERCIALES'!B35-'MENSUAL COMERCIALES'!B24)/'MENSUAL COMERCIALES'!B24</f>
        <v>0.39336385018082498</v>
      </c>
      <c r="F19" s="7" t="s">
        <v>28</v>
      </c>
      <c r="G19" s="19">
        <f>('TRIMESTRAL COMERCIALES'!B13-'TRIMESTRAL COMERCIALES'!B2)/'TRIMESTRAL COMERCIALES'!B2</f>
        <v>-0.39105889321295861</v>
      </c>
      <c r="H19" s="19">
        <f>('TRIMESTRAL COMERCIALES'!B24-'TRIMESTRAL COMERCIALES'!B13)/'TRIMESTRAL COMERCIALES'!B13</f>
        <v>-0.20561727738346733</v>
      </c>
      <c r="I19" s="14">
        <f>('TRIMESTRAL COMERCIALES'!B35-'TRIMESTRAL COMERCIALES'!B24)/'TRIMESTRAL COMERCIALES'!B24</f>
        <v>0.17782390755337874</v>
      </c>
      <c r="K19" s="7"/>
      <c r="L19" s="19">
        <f>('ANUAL COMERCIALES'!C3-'ANUAL COMERCIALES'!B3)/'ANUAL COMERCIALES'!B3</f>
        <v>-0.25064678016978564</v>
      </c>
      <c r="M19" s="14">
        <f>('ANUAL COMERCIALES'!D3-'ANUAL COMERCIALES'!C3)/'ANUAL COMERCIALES'!C3</f>
        <v>1.2067377022912994E-3</v>
      </c>
      <c r="N19" s="21">
        <f>('ANUAL COMERCIALES'!E3-'ANUAL COMERCIALES'!D3)/'ANUAL COMERCIALES'!D3</f>
        <v>-3.6648612423919619E-2</v>
      </c>
    </row>
    <row r="20" spans="1:14" x14ac:dyDescent="0.25">
      <c r="A20" s="6" t="s">
        <v>2</v>
      </c>
      <c r="B20" s="19">
        <f>('MENSUAL COMERCIALES'!C13-'MENSUAL COMERCIALES'!C2)/'MENSUAL COMERCIALES'!C2</f>
        <v>-0.7720309898715576</v>
      </c>
      <c r="C20" s="15">
        <f>('MENSUAL COMERCIALES'!C24-'MENSUAL COMERCIALES'!C13)/'MENSUAL COMERCIALES'!C13</f>
        <v>0.49398229366406921</v>
      </c>
      <c r="D20" s="19">
        <f>('MENSUAL COMERCIALES'!C35-'MENSUAL COMERCIALES'!C24)/'MENSUAL COMERCIALES'!C24</f>
        <v>-0.50730495098173078</v>
      </c>
      <c r="F20" s="6" t="s">
        <v>29</v>
      </c>
      <c r="G20" s="19">
        <f>('TRIMESTRAL COMERCIALES'!C13-'TRIMESTRAL COMERCIALES'!C2)/'TRIMESTRAL COMERCIALES'!C2</f>
        <v>-0.35392094766934284</v>
      </c>
      <c r="H20" s="15">
        <f>('TRIMESTRAL COMERCIALES'!C24-'TRIMESTRAL COMERCIALES'!C13)/'TRIMESTRAL COMERCIALES'!C13</f>
        <v>0.20376503629908324</v>
      </c>
      <c r="I20" s="22">
        <f>('TRIMESTRAL COMERCIALES'!C35-'TRIMESTRAL COMERCIALES'!C24)/'TRIMESTRAL COMERCIALES'!C24</f>
        <v>-8.0889231277169432E-2</v>
      </c>
      <c r="K20" s="6"/>
      <c r="L20" s="11"/>
      <c r="M20" s="11"/>
      <c r="N20" s="11"/>
    </row>
    <row r="21" spans="1:14" x14ac:dyDescent="0.25">
      <c r="A21" s="7" t="s">
        <v>3</v>
      </c>
      <c r="B21" s="14">
        <f>('MENSUAL COMERCIALES'!D13-'MENSUAL COMERCIALES'!D2)/'MENSUAL COMERCIALES'!D2</f>
        <v>1.5285669467005962E-2</v>
      </c>
      <c r="C21" s="19">
        <f>('MENSUAL COMERCIALES'!D24-'MENSUAL COMERCIALES'!D13)/'MENSUAL COMERCIALES'!D13</f>
        <v>-0.51286673190159826</v>
      </c>
      <c r="D21" s="14">
        <f>('MENSUAL COMERCIALES'!D35-'MENSUAL COMERCIALES'!D24)/'MENSUAL COMERCIALES'!D24</f>
        <v>0.76162954609529177</v>
      </c>
      <c r="F21" s="7" t="s">
        <v>30</v>
      </c>
      <c r="G21" s="19">
        <f>('TRIMESTRAL COMERCIALES'!D13-'TRIMESTRAL COMERCIALES'!D2)/'TRIMESTRAL COMERCIALES'!D2</f>
        <v>-8.281097578643383E-2</v>
      </c>
      <c r="H21" s="14">
        <f>('TRIMESTRAL COMERCIALES'!D24-'TRIMESTRAL COMERCIALES'!D13)/'TRIMESTRAL COMERCIALES'!D13</f>
        <v>0.17475227193749143</v>
      </c>
      <c r="I21" s="24">
        <f>('TRIMESTRAL COMERCIALES'!D35-'TRIMESTRAL COMERCIALES'!D24)/'TRIMESTRAL COMERCIALES'!D24</f>
        <v>-2.6802201545384464E-3</v>
      </c>
      <c r="K21" s="7"/>
      <c r="L21" s="10"/>
      <c r="M21" s="10"/>
      <c r="N21" s="10"/>
    </row>
    <row r="22" spans="1:14" x14ac:dyDescent="0.25">
      <c r="A22" s="6" t="s">
        <v>4</v>
      </c>
      <c r="B22" s="19">
        <f>('MENSUAL COMERCIALES'!E13-'MENSUAL COMERCIALES'!E2)/'MENSUAL COMERCIALES'!E2</f>
        <v>-0.62023844803610917</v>
      </c>
      <c r="C22" s="15">
        <f>('MENSUAL COMERCIALES'!E24-'MENSUAL COMERCIALES'!E13)/'MENSUAL COMERCIALES'!E13</f>
        <v>1.8657782579986795</v>
      </c>
      <c r="D22" s="15">
        <f>('MENSUAL COMERCIALES'!E24-'MENSUAL COMERCIALES'!E13)/'MENSUAL COMERCIALES'!E13</f>
        <v>1.8657782579986795</v>
      </c>
      <c r="F22" s="6" t="s">
        <v>31</v>
      </c>
      <c r="G22" s="15">
        <f>('TRIMESTRAL COMERCIALES'!E13-'TRIMESTRAL COMERCIALES'!E2)/'TRIMESTRAL COMERCIALES'!E2</f>
        <v>8.6172074861990029E-3</v>
      </c>
      <c r="H22" s="19">
        <f>('TRIMESTRAL COMERCIALES'!E24-'TRIMESTRAL COMERCIALES'!E13)/'TRIMESTRAL COMERCIALES'!E13</f>
        <v>-4.5552098415534537E-2</v>
      </c>
      <c r="I22" s="22">
        <f>('TRIMESTRAL COMERCIALES'!E35-'TRIMESTRAL COMERCIALES'!E24)/'TRIMESTRAL COMERCIALES'!E24</f>
        <v>-0.27538274500521803</v>
      </c>
      <c r="K22" s="6"/>
      <c r="L22" s="11"/>
      <c r="M22" s="11"/>
      <c r="N22" s="11"/>
    </row>
    <row r="23" spans="1:14" x14ac:dyDescent="0.25">
      <c r="A23" s="7" t="s">
        <v>5</v>
      </c>
      <c r="B23" s="14">
        <f>('MENSUAL COMERCIALES'!F13-'MENSUAL COMERCIALES'!F2)/'MENSUAL COMERCIALES'!F2</f>
        <v>0.42108079186730873</v>
      </c>
      <c r="C23" s="19">
        <f>('MENSUAL COMERCIALES'!F24-'MENSUAL COMERCIALES'!F13)/'MENSUAL COMERCIALES'!F13</f>
        <v>-0.38351844879518071</v>
      </c>
      <c r="D23" s="14">
        <f>('MENSUAL COMERCIALES'!F35-'MENSUAL COMERCIALES'!F24)/'MENSUAL COMERCIALES'!F24</f>
        <v>-0.40056492862050536</v>
      </c>
      <c r="F23" s="7"/>
      <c r="G23" s="10"/>
      <c r="H23" s="10"/>
      <c r="I23" s="10"/>
      <c r="K23" s="7"/>
      <c r="L23" s="10"/>
      <c r="M23" s="10"/>
      <c r="N23" s="10"/>
    </row>
    <row r="24" spans="1:14" x14ac:dyDescent="0.25">
      <c r="A24" s="6" t="s">
        <v>6</v>
      </c>
      <c r="B24" s="19">
        <f>('MENSUAL COMERCIALES'!G13-'MENSUAL COMERCIALES'!G2)/'MENSUAL COMERCIALES'!G2</f>
        <v>-0.6208113693890347</v>
      </c>
      <c r="C24" s="15">
        <f>(Tabla6[[#This Row],[JUNIO]]-'MENSUAL COMERCIALES'!G13)/'MENSUAL COMERCIALES'!G13</f>
        <v>3.6560720191071101E-2</v>
      </c>
      <c r="D24" s="15">
        <f>('MENSUAL COMERCIALES'!G35-Tabla6[[#This Row],[JUNIO]])/Tabla6[[#This Row],[JUNIO]]</f>
        <v>1.7050100437197211</v>
      </c>
      <c r="F24" s="6"/>
      <c r="G24" s="11"/>
      <c r="H24" s="11"/>
      <c r="I24" s="11"/>
      <c r="K24" s="6"/>
      <c r="L24" s="11"/>
      <c r="M24" s="11"/>
      <c r="N24" s="11"/>
    </row>
    <row r="25" spans="1:14" x14ac:dyDescent="0.25">
      <c r="A25" s="7" t="s">
        <v>7</v>
      </c>
      <c r="B25" s="19">
        <f>('MENSUAL COMERCIALES'!H13-'MENSUAL COMERCIALES'!H2)/'MENSUAL COMERCIALES'!H2</f>
        <v>-0.35495582269805692</v>
      </c>
      <c r="C25" s="19">
        <f>('MENSUAL COMERCIALES'!H24-'MENSUAL COMERCIALES'!H13)/'MENSUAL COMERCIALES'!H13</f>
        <v>-0.39082242131863082</v>
      </c>
      <c r="D25" s="14">
        <f>('MENSUAL COMERCIALES'!H35-'MENSUAL COMERCIALES'!H24)/'MENSUAL COMERCIALES'!H24</f>
        <v>0.67695861223720188</v>
      </c>
      <c r="F25" s="7"/>
      <c r="G25" s="10"/>
      <c r="H25" s="10"/>
      <c r="I25" s="10"/>
      <c r="K25" s="7"/>
      <c r="L25" s="10"/>
      <c r="M25" s="10"/>
      <c r="N25" s="10"/>
    </row>
    <row r="26" spans="1:14" x14ac:dyDescent="0.25">
      <c r="A26" s="6" t="s">
        <v>8</v>
      </c>
      <c r="B26" s="19">
        <f>('MENSUAL COMERCIALES'!I13-'MENSUAL COMERCIALES'!I2)/'MENSUAL COMERCIALES'!I2</f>
        <v>-0.45580018347093654</v>
      </c>
      <c r="C26" s="21">
        <f>('MENSUAL COMERCIALES'!I24-'MENSUAL COMERCIALES'!I13)/'MENSUAL COMERCIALES'!I13</f>
        <v>3.7331238985518351</v>
      </c>
      <c r="D26" s="22">
        <f>('MENSUAL COMERCIALES'!I35-'MENSUAL COMERCIALES'!I24)/'MENSUAL COMERCIALES'!I24</f>
        <v>-0.58265880981674545</v>
      </c>
      <c r="F26" s="6"/>
      <c r="G26" s="11"/>
      <c r="H26" s="11"/>
      <c r="I26" s="11"/>
      <c r="K26" s="6"/>
      <c r="L26" s="11"/>
      <c r="M26" s="11"/>
      <c r="N26" s="11"/>
    </row>
    <row r="27" spans="1:14" x14ac:dyDescent="0.25">
      <c r="A27" s="12" t="s">
        <v>9</v>
      </c>
      <c r="B27" s="16">
        <f>('MENSUAL COMERCIALES'!J13-'MENSUAL COMERCIALES'!J2)/'MENSUAL COMERCIALES'!J2</f>
        <v>0.84167709637046306</v>
      </c>
      <c r="C27" s="20">
        <f>('MENSUAL COMERCIALES'!J24-'MENSUAL COMERCIALES'!J13)/'MENSUAL COMERCIALES'!J13</f>
        <v>-0.3932212028542304</v>
      </c>
      <c r="D27" s="23">
        <f>('MENSUAL COMERCIALES'!J35-'MENSUAL COMERCIALES'!J24)/'MENSUAL COMERCIALES'!J24</f>
        <v>0.74660506789864201</v>
      </c>
      <c r="F27" s="12"/>
      <c r="G27" s="8"/>
      <c r="H27" s="16"/>
      <c r="I27" s="16"/>
      <c r="K27" s="12"/>
      <c r="L27" s="8"/>
      <c r="M27" s="16"/>
      <c r="N27" s="16"/>
    </row>
    <row r="28" spans="1:14" x14ac:dyDescent="0.25">
      <c r="A28" t="s">
        <v>10</v>
      </c>
      <c r="B28" s="16">
        <f>('MENSUAL COMERCIALES'!K13-'MENSUAL COMERCIALES'!K2)/'MENSUAL COMERCIALES'!K2</f>
        <v>3.9526489815492567E-2</v>
      </c>
      <c r="C28" s="20">
        <f>('MENSUAL COMERCIALES'!K24-'MENSUAL COMERCIALES'!K13)/'MENSUAL COMERCIALES'!K13</f>
        <v>-2.5980332645380598E-2</v>
      </c>
      <c r="D28" s="23">
        <f>('MENSUAL COMERCIALES'!K35-'MENSUAL COMERCIALES'!K24)/'MENSUAL COMERCIALES'!K24</f>
        <v>-0.37993269350616976</v>
      </c>
      <c r="G28" s="8"/>
      <c r="H28" s="16"/>
      <c r="I28" s="16"/>
      <c r="L28" s="8"/>
      <c r="M28" s="16"/>
      <c r="N28" s="16"/>
    </row>
    <row r="29" spans="1:14" x14ac:dyDescent="0.25">
      <c r="A29" s="12" t="s">
        <v>11</v>
      </c>
      <c r="B29" s="16">
        <f>('MENSUAL COMERCIALES'!L13-'MENSUAL COMERCIALES'!L2)/'MENSUAL COMERCIALES'!L2</f>
        <v>3.5214525268879381E-2</v>
      </c>
      <c r="C29" s="20">
        <f>('MENSUAL COMERCIALES'!L24-'MENSUAL COMERCIALES'!L13)/'MENSUAL COMERCIALES'!L13</f>
        <v>-0.27662961514829915</v>
      </c>
      <c r="D29" s="23">
        <f>('MENSUAL COMERCIALES'!L35-'MENSUAL COMERCIALES'!L24)/'MENSUAL COMERCIALES'!L24</f>
        <v>-0.26798193119956759</v>
      </c>
      <c r="F29" s="12"/>
      <c r="G29" s="8"/>
      <c r="H29" s="16"/>
      <c r="I29" s="16"/>
      <c r="K29" s="12"/>
      <c r="L29" s="8"/>
      <c r="M29" s="16"/>
      <c r="N29" s="16"/>
    </row>
    <row r="30" spans="1:14" x14ac:dyDescent="0.25">
      <c r="A30" t="s">
        <v>12</v>
      </c>
      <c r="B30" s="20">
        <f>('MENSUAL COMERCIALES'!M13-'MENSUAL COMERCIALES'!M2)/'MENSUAL COMERCIALES'!M2</f>
        <v>-8.736126029359112E-2</v>
      </c>
      <c r="C30" s="16">
        <f>('MENSUAL COMERCIALES'!M24-'MENSUAL COMERCIALES'!M13)/'MENSUAL COMERCIALES'!M13</f>
        <v>0.32066496665358962</v>
      </c>
      <c r="D30" s="23">
        <f>('MENSUAL COMERCIALES'!M35-'MENSUAL COMERCIALES'!M24)/'MENSUAL COMERCIALES'!M24</f>
        <v>-0.12676840815417179</v>
      </c>
      <c r="G30" s="8"/>
      <c r="H30" s="16"/>
      <c r="I30" s="16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ageMargins left="0.7" right="0.7" top="0.75" bottom="0.75" header="0.3" footer="0.3"/>
  <ignoredErrors>
    <ignoredError sqref="A4:D14 B20:D30 G20:I22 G4:H6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A59F-83B6-4687-B652-D4189051FFE1}">
  <dimension ref="A1:N30"/>
  <sheetViews>
    <sheetView workbookViewId="0">
      <selection activeCell="I3" sqref="I3:I5"/>
    </sheetView>
  </sheetViews>
  <sheetFormatPr baseColWidth="10" defaultColWidth="11.42578125" defaultRowHeight="15" x14ac:dyDescent="0.25"/>
  <cols>
    <col min="6" max="6" width="18.140625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7" t="s">
        <v>1</v>
      </c>
      <c r="B3" s="10">
        <f>'MENSUAL COMERCIALES'!B14-'MENSUAL COMERCIALES'!B3</f>
        <v>1319</v>
      </c>
      <c r="C3" s="18">
        <f>'MENSUAL COMERCIALES'!B25-'MENSUAL COMERCIALES'!B14</f>
        <v>4596</v>
      </c>
      <c r="D3" s="10">
        <f>'MENSUAL COMERCIALES'!B36-'MENSUAL COMERCIALES'!B25</f>
        <v>-1831</v>
      </c>
      <c r="F3" s="7" t="s">
        <v>28</v>
      </c>
      <c r="G3" s="10">
        <f>'TRIMESTRAL COMERCIALES'!B14-'TRIMESTRAL COMERCIALES'!B3</f>
        <v>-4099</v>
      </c>
      <c r="H3" s="10">
        <f>'TRIMESTRAL COMERCIALES'!B25-'TRIMESTRAL COMERCIALES'!B14</f>
        <v>-5774</v>
      </c>
      <c r="I3" s="10">
        <f>'TRIMESTRAL COMERCIALES'!B36-'TRIMESTRAL COMERCIALES'!B25</f>
        <v>7010</v>
      </c>
      <c r="K3" s="7" t="s">
        <v>23</v>
      </c>
      <c r="L3" s="10">
        <f>'ANUAL COMERCIALES'!C4-'ANUAL COMERCIALES'!B4</f>
        <v>-2145</v>
      </c>
      <c r="M3" s="10">
        <f>'ANUAL COMERCIALES'!D4-'ANUAL COMERCIALES'!C4</f>
        <v>-5397</v>
      </c>
      <c r="N3" s="10">
        <f>'ANUAL COMERCIALES'!E4-'ANUAL COMERCIALES'!D4</f>
        <v>11020</v>
      </c>
    </row>
    <row r="4" spans="1:14" x14ac:dyDescent="0.25">
      <c r="A4" s="6" t="s">
        <v>2</v>
      </c>
      <c r="B4" s="11">
        <f>'MENSUAL COMERCIALES'!C14-'MENSUAL COMERCIALES'!C3</f>
        <v>-11623</v>
      </c>
      <c r="C4" s="18">
        <f>'MENSUAL COMERCIALES'!C25-'MENSUAL COMERCIALES'!C14</f>
        <v>2112</v>
      </c>
      <c r="D4" s="11">
        <f>'MENSUAL COMERCIALES'!C36-'MENSUAL COMERCIALES'!C25</f>
        <v>1341</v>
      </c>
      <c r="F4" s="6" t="s">
        <v>29</v>
      </c>
      <c r="G4" s="11">
        <f>'TRIMESTRAL COMERCIALES'!C14-'TRIMESTRAL COMERCIALES'!C3</f>
        <v>2685</v>
      </c>
      <c r="H4" s="11">
        <f>'TRIMESTRAL COMERCIALES'!C25-'TRIMESTRAL COMERCIALES'!C14</f>
        <v>-2572</v>
      </c>
      <c r="I4" s="11">
        <f>'TRIMESTRAL COMERCIALES'!C36-'TRIMESTRAL COMERCIALES'!C25</f>
        <v>-776</v>
      </c>
      <c r="K4" s="6"/>
      <c r="L4" s="11"/>
      <c r="M4" s="11"/>
      <c r="N4" s="11"/>
    </row>
    <row r="5" spans="1:14" x14ac:dyDescent="0.25">
      <c r="A5" s="7" t="s">
        <v>3</v>
      </c>
      <c r="B5" s="10">
        <f>'MENSUAL COMERCIALES'!D14-'MENSUAL COMERCIALES'!D3</f>
        <v>6205</v>
      </c>
      <c r="C5" s="18">
        <f>'MENSUAL COMERCIALES'!D25-'MENSUAL COMERCIALES'!D14</f>
        <v>-12482</v>
      </c>
      <c r="D5" s="10">
        <f>'MENSUAL COMERCIALES'!D36-'MENSUAL COMERCIALES'!D25</f>
        <v>7500</v>
      </c>
      <c r="F5" s="7" t="s">
        <v>30</v>
      </c>
      <c r="G5" s="10">
        <f>'TRIMESTRAL COMERCIALES'!D14-'TRIMESTRAL COMERCIALES'!D3</f>
        <v>-6101</v>
      </c>
      <c r="H5" s="10">
        <f>'TRIMESTRAL COMERCIALES'!D25-'TRIMESTRAL COMERCIALES'!D14</f>
        <v>9919</v>
      </c>
      <c r="I5" s="10">
        <f>'TRIMESTRAL COMERCIALES'!D36-'TRIMESTRAL COMERCIALES'!D25</f>
        <v>-37</v>
      </c>
      <c r="K5" s="7"/>
      <c r="L5" s="10"/>
      <c r="M5" s="10"/>
      <c r="N5" s="10"/>
    </row>
    <row r="6" spans="1:14" x14ac:dyDescent="0.25">
      <c r="A6" s="6" t="s">
        <v>4</v>
      </c>
      <c r="B6" s="11">
        <f>'MENSUAL COMERCIALES'!E14-'MENSUAL COMERCIALES'!E3</f>
        <v>-6285</v>
      </c>
      <c r="C6" s="18">
        <f>'MENSUAL COMERCIALES'!E25-'MENSUAL COMERCIALES'!E14</f>
        <v>7871</v>
      </c>
      <c r="D6" s="11">
        <f>'MENSUAL COMERCIALES'!E36-'MENSUAL COMERCIALES'!E25</f>
        <v>-3751</v>
      </c>
      <c r="F6" s="6" t="s">
        <v>31</v>
      </c>
      <c r="G6" s="11">
        <f>'TRIMESTRAL COMERCIALES'!E14-'TRIMESTRAL COMERCIALES'!E3</f>
        <v>5370</v>
      </c>
      <c r="H6" s="11">
        <f>'TRIMESTRAL COMERCIALES'!E25-'TRIMESTRAL COMERCIALES'!E14</f>
        <v>-6970</v>
      </c>
      <c r="I6" s="11">
        <f>'TRIMESTRAL COMERCIALES'!E36-'TRIMESTRAL COMERCIALES'!E25</f>
        <v>4823</v>
      </c>
      <c r="K6" s="6"/>
      <c r="L6" s="11"/>
      <c r="M6" s="11"/>
      <c r="N6" s="11"/>
    </row>
    <row r="7" spans="1:14" x14ac:dyDescent="0.25">
      <c r="A7" s="7" t="s">
        <v>5</v>
      </c>
      <c r="B7" s="10">
        <f>'MENSUAL COMERCIALES'!F14-'MENSUAL COMERCIALES'!F3</f>
        <v>588</v>
      </c>
      <c r="C7" s="18">
        <f>'MENSUAL COMERCIALES'!F25-'MENSUAL COMERCIALES'!F14</f>
        <v>311</v>
      </c>
      <c r="D7" s="10">
        <f>'MENSUAL COMERCIALES'!F36-'MENSUAL COMERCIALES'!F25</f>
        <v>-3140</v>
      </c>
      <c r="F7" s="6"/>
      <c r="G7" s="18"/>
      <c r="H7" s="18"/>
      <c r="I7" s="18"/>
      <c r="K7" s="7"/>
      <c r="L7" s="10"/>
      <c r="M7" s="10"/>
      <c r="N7" s="10"/>
    </row>
    <row r="8" spans="1:14" x14ac:dyDescent="0.25">
      <c r="A8" s="6" t="s">
        <v>6</v>
      </c>
      <c r="B8" s="11">
        <f>'MENSUAL COMERCIALES'!G14-'MENSUAL COMERCIALES'!G3</f>
        <v>8382</v>
      </c>
      <c r="C8" s="18">
        <f>'MENSUAL COMERCIALES'!G25-'MENSUAL COMERCIALES'!G14</f>
        <v>-10754</v>
      </c>
      <c r="D8" s="11">
        <f>'MENSUAL COMERCIALES'!G36-'MENSUAL COMERCIALES'!G25</f>
        <v>6115</v>
      </c>
      <c r="F8" s="6"/>
      <c r="G8" s="18"/>
      <c r="H8" s="18"/>
      <c r="I8" s="18"/>
      <c r="K8" s="6"/>
      <c r="L8" s="11"/>
      <c r="M8" s="11"/>
      <c r="N8" s="11"/>
    </row>
    <row r="9" spans="1:14" x14ac:dyDescent="0.25">
      <c r="A9" s="7" t="s">
        <v>7</v>
      </c>
      <c r="B9" s="10">
        <f>'MENSUAL COMERCIALES'!H14-'MENSUAL COMERCIALES'!H3</f>
        <v>-6107</v>
      </c>
      <c r="C9" s="18">
        <f>'MENSUAL COMERCIALES'!H25-'MENSUAL COMERCIALES'!H14</f>
        <v>3560</v>
      </c>
      <c r="D9" s="10">
        <f>'MENSUAL COMERCIALES'!H36-'MENSUAL COMERCIALES'!H25</f>
        <v>-1813</v>
      </c>
      <c r="F9" s="6"/>
      <c r="G9" s="18"/>
      <c r="H9" s="18"/>
      <c r="I9" s="18"/>
      <c r="K9" s="7"/>
      <c r="L9" s="10"/>
      <c r="M9" s="10"/>
      <c r="N9" s="10"/>
    </row>
    <row r="10" spans="1:14" x14ac:dyDescent="0.25">
      <c r="A10" s="6" t="s">
        <v>8</v>
      </c>
      <c r="B10" s="11">
        <f>'MENSUAL COMERCIALES'!I14-'MENSUAL COMERCIALES'!I3</f>
        <v>505</v>
      </c>
      <c r="C10" s="18">
        <f>'MENSUAL COMERCIALES'!I25-'MENSUAL COMERCIALES'!I14</f>
        <v>3465</v>
      </c>
      <c r="D10" s="11">
        <f>'MENSUAL COMERCIALES'!I36-'MENSUAL COMERCIALES'!I25</f>
        <v>-43</v>
      </c>
      <c r="F10" s="6"/>
      <c r="G10" s="18"/>
      <c r="H10" s="18"/>
      <c r="I10" s="18"/>
      <c r="K10" s="6"/>
      <c r="L10" s="11"/>
      <c r="M10" s="11"/>
      <c r="N10" s="11"/>
    </row>
    <row r="11" spans="1:14" x14ac:dyDescent="0.25">
      <c r="A11" s="12" t="s">
        <v>9</v>
      </c>
      <c r="B11" s="8">
        <f>'MENSUAL COMERCIALES'!J14-'MENSUAL COMERCIALES'!J3</f>
        <v>-499</v>
      </c>
      <c r="C11" s="18">
        <f>'MENSUAL COMERCIALES'!J25-'MENSUAL COMERCIALES'!J14</f>
        <v>2894</v>
      </c>
      <c r="D11" s="8">
        <f>'MENSUAL COMERCIALES'!J36-'MENSUAL COMERCIALES'!J25</f>
        <v>1819</v>
      </c>
      <c r="G11" s="8"/>
      <c r="H11" s="8"/>
      <c r="I11" s="8"/>
      <c r="K11" s="12"/>
      <c r="L11" s="8"/>
      <c r="M11" s="8"/>
      <c r="N11" s="8"/>
    </row>
    <row r="12" spans="1:14" x14ac:dyDescent="0.25">
      <c r="A12" t="s">
        <v>10</v>
      </c>
      <c r="B12" s="8">
        <f>'MENSUAL COMERCIALES'!K14-'MENSUAL COMERCIALES'!K3</f>
        <v>-1214</v>
      </c>
      <c r="C12" s="18">
        <f>'MENSUAL COMERCIALES'!K25-'MENSUAL COMERCIALES'!K14</f>
        <v>-2044</v>
      </c>
      <c r="D12" s="8">
        <f>'MENSUAL COMERCIALES'!K36-'MENSUAL COMERCIALES'!K25</f>
        <v>3491</v>
      </c>
      <c r="G12" s="8"/>
      <c r="H12" s="8"/>
      <c r="I12" s="8"/>
      <c r="L12" s="8"/>
      <c r="M12" s="8"/>
      <c r="N12" s="8"/>
    </row>
    <row r="13" spans="1:14" x14ac:dyDescent="0.25">
      <c r="A13" s="12" t="s">
        <v>11</v>
      </c>
      <c r="B13" s="8">
        <f>'MENSUAL COMERCIALES'!L14-'MENSUAL COMERCIALES'!L3</f>
        <v>1856</v>
      </c>
      <c r="C13" s="18">
        <f>'MENSUAL COMERCIALES'!L25-'MENSUAL COMERCIALES'!L14</f>
        <v>-471</v>
      </c>
      <c r="D13" s="8">
        <f>'MENSUAL COMERCIALES'!L36-'MENSUAL COMERCIALES'!L25</f>
        <v>299</v>
      </c>
      <c r="G13" s="8"/>
      <c r="H13" s="8"/>
      <c r="I13" s="8"/>
      <c r="K13" s="12"/>
      <c r="L13" s="8"/>
      <c r="M13" s="8"/>
      <c r="N13" s="8"/>
    </row>
    <row r="14" spans="1:14" x14ac:dyDescent="0.25">
      <c r="A14" t="s">
        <v>12</v>
      </c>
      <c r="B14" s="8">
        <f>'MENSUAL COMERCIALES'!M14-'MENSUAL COMERCIALES'!M3</f>
        <v>4728</v>
      </c>
      <c r="C14" s="18">
        <f>'MENSUAL COMERCIALES'!M25-'MENSUAL COMERCIALES'!M14</f>
        <v>-4455</v>
      </c>
      <c r="D14" s="8">
        <f>'MENSUAL COMERCIALES'!M36-'MENSUAL COMERCIALES'!M25</f>
        <v>1033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13" t="s">
        <v>32</v>
      </c>
      <c r="B18" s="13" t="s">
        <v>25</v>
      </c>
      <c r="C18" s="13" t="s">
        <v>26</v>
      </c>
      <c r="D18" s="13" t="s">
        <v>27</v>
      </c>
      <c r="F18" s="13" t="s">
        <v>32</v>
      </c>
      <c r="G18" s="13" t="s">
        <v>25</v>
      </c>
      <c r="H18" s="13" t="s">
        <v>26</v>
      </c>
      <c r="I18" s="13" t="s">
        <v>27</v>
      </c>
      <c r="K18" s="13" t="s">
        <v>32</v>
      </c>
      <c r="L18" s="13" t="s">
        <v>25</v>
      </c>
      <c r="M18" s="13" t="s">
        <v>26</v>
      </c>
      <c r="N18" s="13" t="s">
        <v>27</v>
      </c>
    </row>
    <row r="19" spans="1:14" x14ac:dyDescent="0.25">
      <c r="A19" s="7" t="s">
        <v>1</v>
      </c>
      <c r="B19" s="24">
        <f>('MENSUAL COMERCIALES'!B14-'MENSUAL COMERCIALES'!B3)/'MENSUAL COMERCIALES'!B3</f>
        <v>0.58989266547406083</v>
      </c>
      <c r="C19" s="24">
        <f>('MENSUAL COMERCIALES'!B25-'MENSUAL COMERCIALES'!B14)/'MENSUAL COMERCIALES'!B14</f>
        <v>1.2928270042194092</v>
      </c>
      <c r="D19" s="26">
        <f>('MENSUAL COMERCIALES'!B36-'MENSUAL COMERCIALES'!B25)/'MENSUAL COMERCIALES'!B25</f>
        <v>-0.22463501410869832</v>
      </c>
      <c r="F19" s="7" t="s">
        <v>28</v>
      </c>
      <c r="G19" s="27">
        <f>('TRIMESTRAL COMERCIALES'!B14-'TRIMESTRAL COMERCIALES'!B3)/'TRIMESTRAL COMERCIALES'!B3</f>
        <v>-0.15910414159841632</v>
      </c>
      <c r="H19" s="27">
        <f>('TRIMESTRAL COMERCIALES'!B25-'TRIMESTRAL COMERCIALES'!B14)/'TRIMESTRAL COMERCIALES'!B14</f>
        <v>-0.26652511078286556</v>
      </c>
      <c r="I19" s="25">
        <f>('TRIMESTRAL COMERCIALES'!B36-'TRIMESTRAL COMERCIALES'!B25)/'TRIMESTRAL COMERCIALES'!B25</f>
        <v>0.44115796098174953</v>
      </c>
      <c r="K19" s="6"/>
      <c r="L19" s="27">
        <f>('ANUAL COMERCIALES'!C4-'ANUAL COMERCIALES'!B4)/'ANUAL COMERCIALES'!B4</f>
        <v>-2.9324110023513972E-2</v>
      </c>
      <c r="M19" s="27">
        <f>('ANUAL COMERCIALES'!D4-'ANUAL COMERCIALES'!C4)/'ANUAL COMERCIALES'!C4</f>
        <v>-7.6010872780023372E-2</v>
      </c>
      <c r="N19" s="25">
        <f>('ANUAL COMERCIALES'!E4-'ANUAL COMERCIALES'!D4)/'ANUAL COMERCIALES'!D4</f>
        <v>0.16797244154498064</v>
      </c>
    </row>
    <row r="20" spans="1:14" x14ac:dyDescent="0.25">
      <c r="A20" s="6" t="s">
        <v>2</v>
      </c>
      <c r="B20" s="27">
        <f>('MENSUAL COMERCIALES'!C14-'MENSUAL COMERCIALES'!C3)/'MENSUAL COMERCIALES'!C3</f>
        <v>-0.81759988745075973</v>
      </c>
      <c r="C20" s="22">
        <f>('MENSUAL COMERCIALES'!C25-'MENSUAL COMERCIALES'!C14)/'MENSUAL COMERCIALES'!C14</f>
        <v>0.81450057848052448</v>
      </c>
      <c r="D20" s="22">
        <f>('MENSUAL COMERCIALES'!C36-'MENSUAL COMERCIALES'!C25)/'MENSUAL COMERCIALES'!C25</f>
        <v>0.28501594048884166</v>
      </c>
      <c r="F20" s="6" t="s">
        <v>29</v>
      </c>
      <c r="G20" s="25">
        <f>('TRIMESTRAL COMERCIALES'!C14-'TRIMESTRAL COMERCIALES'!C3)/'TRIMESTRAL COMERCIALES'!C3</f>
        <v>0.16490603120009828</v>
      </c>
      <c r="H20" s="27">
        <f>('TRIMESTRAL COMERCIALES'!C25-'TRIMESTRAL COMERCIALES'!C14)/'TRIMESTRAL COMERCIALES'!C14</f>
        <v>-0.13560394369167503</v>
      </c>
      <c r="I20" s="25">
        <f>('TRIMESTRAL COMERCIALES'!C36-'TRIMESTRAL COMERCIALES'!C25)/'TRIMESTRAL COMERCIALES'!C25</f>
        <v>-4.7331503507166819E-2</v>
      </c>
      <c r="K20" s="6"/>
      <c r="L20" s="18"/>
      <c r="M20" s="18"/>
      <c r="N20" s="18"/>
    </row>
    <row r="21" spans="1:14" x14ac:dyDescent="0.25">
      <c r="A21" s="7" t="s">
        <v>3</v>
      </c>
      <c r="B21" s="24">
        <f>('MENSUAL COMERCIALES'!D14-'MENSUAL COMERCIALES'!D3)/'MENSUAL COMERCIALES'!D3</f>
        <v>0.66641606701750622</v>
      </c>
      <c r="C21" s="27">
        <f>('MENSUAL COMERCIALES'!D25-'MENSUAL COMERCIALES'!D14)/'MENSUAL COMERCIALES'!D14</f>
        <v>-0.80445991234854342</v>
      </c>
      <c r="D21" s="24">
        <f>('MENSUAL COMERCIALES'!D36-'MENSUAL COMERCIALES'!D25)/'MENSUAL COMERCIALES'!D25</f>
        <v>2.4719841793012525</v>
      </c>
      <c r="F21" s="7" t="s">
        <v>30</v>
      </c>
      <c r="G21" s="27">
        <f>('TRIMESTRAL COMERCIALES'!D14-'TRIMESTRAL COMERCIALES'!D3)/'TRIMESTRAL COMERCIALES'!D3</f>
        <v>-0.38378310373026359</v>
      </c>
      <c r="H21" s="25">
        <f>('TRIMESTRAL COMERCIALES'!D25-'TRIMESTRAL COMERCIALES'!D14)/'TRIMESTRAL COMERCIALES'!D14</f>
        <v>1.0125561453654552</v>
      </c>
      <c r="I21" s="25">
        <f>('TRIMESTRAL COMERCIALES'!D36-'TRIMESTRAL COMERCIALES'!D25)/'TRIMESTRAL COMERCIALES'!D25</f>
        <v>-1.8767435962465128E-3</v>
      </c>
      <c r="K21" s="6"/>
      <c r="L21" s="18"/>
      <c r="M21" s="18"/>
      <c r="N21" s="18"/>
    </row>
    <row r="22" spans="1:14" x14ac:dyDescent="0.25">
      <c r="A22" s="6" t="s">
        <v>4</v>
      </c>
      <c r="B22" s="27">
        <f>('MENSUAL COMERCIALES'!E14-'MENSUAL COMERCIALES'!E3)/'MENSUAL COMERCIALES'!E3</f>
        <v>-0.8577862699604204</v>
      </c>
      <c r="C22" s="22">
        <f>('MENSUAL COMERCIALES'!E25-'MENSUAL COMERCIALES'!E14)/'MENSUAL COMERCIALES'!E14</f>
        <v>7.5537428023032627</v>
      </c>
      <c r="D22" s="27">
        <f>('MENSUAL COMERCIALES'!E36-'MENSUAL COMERCIALES'!E25)/'MENSUAL COMERCIALES'!E25</f>
        <v>-0.42084595534612362</v>
      </c>
      <c r="F22" s="6" t="s">
        <v>31</v>
      </c>
      <c r="G22" s="25">
        <f>('TRIMESTRAL COMERCIALES'!E14-'TRIMESTRAL COMERCIALES'!E3)/'TRIMESTRAL COMERCIALES'!E3</f>
        <v>0.35315007233986584</v>
      </c>
      <c r="H22" s="27">
        <f>('TRIMESTRAL COMERCIALES'!E25-'TRIMESTRAL COMERCIALES'!E14)/'TRIMESTRAL COMERCIALES'!E14</f>
        <v>-0.33874416796267498</v>
      </c>
      <c r="I22" s="25">
        <f>('TRIMESTRAL COMERCIALES'!E36-'TRIMESTRAL COMERCIALES'!E25)/'TRIMESTRAL COMERCIALES'!E25</f>
        <v>0.35447596648537411</v>
      </c>
      <c r="K22" s="6"/>
      <c r="L22" s="18"/>
      <c r="M22" s="18"/>
      <c r="N22" s="18"/>
    </row>
    <row r="23" spans="1:14" x14ac:dyDescent="0.25">
      <c r="A23" s="7" t="s">
        <v>5</v>
      </c>
      <c r="B23" s="22">
        <f>('MENSUAL COMERCIALES'!F14-'MENSUAL COMERCIALES'!F3)/'MENSUAL COMERCIALES'!F3</f>
        <v>0.11318575553416747</v>
      </c>
      <c r="C23" s="22">
        <f>('MENSUAL COMERCIALES'!F25-'MENSUAL COMERCIALES'!F14)/'MENSUAL COMERCIALES'!F14</f>
        <v>5.3778315753069343E-2</v>
      </c>
      <c r="D23" s="24">
        <f>('MENSUAL COMERCIALES'!F36-'MENSUAL COMERCIALES'!F25)/'MENSUAL COMERCIALES'!F25</f>
        <v>-0.51526091237282579</v>
      </c>
      <c r="F23" s="7"/>
      <c r="G23" s="10"/>
      <c r="H23" s="10"/>
      <c r="I23" s="10"/>
      <c r="K23" s="7"/>
      <c r="L23" s="10"/>
      <c r="M23" s="10"/>
      <c r="N23" s="10"/>
    </row>
    <row r="24" spans="1:14" x14ac:dyDescent="0.25">
      <c r="A24" s="6" t="s">
        <v>6</v>
      </c>
      <c r="B24" s="22">
        <f>('MENSUAL COMERCIALES'!G14-'MENSUAL COMERCIALES'!G3)/'MENSUAL COMERCIALES'!G3</f>
        <v>2.2292553191489364</v>
      </c>
      <c r="C24" s="27">
        <f>('MENSUAL COMERCIALES'!G25-'MENSUAL COMERCIALES'!G14)/'MENSUAL COMERCIALES'!G14</f>
        <v>-0.88568604842694776</v>
      </c>
      <c r="D24" s="22">
        <f>('MENSUAL COMERCIALES'!G36-'MENSUAL COMERCIALES'!G25)/'MENSUAL COMERCIALES'!G25</f>
        <v>4.4056195965417864</v>
      </c>
      <c r="F24" s="6"/>
      <c r="G24" s="11"/>
      <c r="H24" s="11"/>
      <c r="I24" s="11"/>
      <c r="K24" s="6"/>
      <c r="L24" s="11"/>
      <c r="M24" s="11"/>
      <c r="N24" s="11"/>
    </row>
    <row r="25" spans="1:14" x14ac:dyDescent="0.25">
      <c r="A25" s="7" t="s">
        <v>7</v>
      </c>
      <c r="B25" s="27">
        <f>('MENSUAL COMERCIALES'!H14-'MENSUAL COMERCIALES'!H3)/'MENSUAL COMERCIALES'!H3</f>
        <v>-0.67346713718570794</v>
      </c>
      <c r="C25" s="22">
        <f>('MENSUAL COMERCIALES'!H25-'MENSUAL COMERCIALES'!H14)/'MENSUAL COMERCIALES'!H14</f>
        <v>1.2022965214454575</v>
      </c>
      <c r="D25" s="24">
        <f>('MENSUAL COMERCIALES'!H36-Tabla6[[#This Row],[JULIO]])/Tabla6[[#This Row],[JULIO]]</f>
        <v>-0.27802484281551909</v>
      </c>
      <c r="F25" s="7"/>
      <c r="G25" s="10"/>
      <c r="H25" s="10"/>
      <c r="I25" s="10"/>
      <c r="K25" s="7"/>
      <c r="L25" s="10"/>
      <c r="M25" s="10"/>
      <c r="N25" s="10"/>
    </row>
    <row r="26" spans="1:14" x14ac:dyDescent="0.25">
      <c r="A26" s="6" t="s">
        <v>8</v>
      </c>
      <c r="B26" s="22">
        <f>('MENSUAL COMERCIALES'!I14-'MENSUAL COMERCIALES'!I3)/'MENSUAL COMERCIALES'!I3</f>
        <v>0.26904635055940329</v>
      </c>
      <c r="C26" s="22">
        <f>('MENSUAL COMERCIALES'!I25-'MENSUAL COMERCIALES'!I14)/'MENSUAL COMERCIALES'!I14</f>
        <v>1.4546599496221662</v>
      </c>
      <c r="D26" s="22">
        <f>('MENSUAL COMERCIALES'!I36-'MENSUAL COMERCIALES'!I25)/'MENSUAL COMERCIALES'!I25</f>
        <v>-7.3541987343937066E-3</v>
      </c>
      <c r="F26" s="6"/>
      <c r="G26" s="11"/>
      <c r="H26" s="11"/>
      <c r="I26" s="11"/>
      <c r="K26" s="6"/>
      <c r="L26" s="11"/>
      <c r="M26" s="11"/>
      <c r="N26" s="11"/>
    </row>
    <row r="27" spans="1:14" x14ac:dyDescent="0.25">
      <c r="A27" s="12" t="s">
        <v>9</v>
      </c>
      <c r="B27" s="27">
        <f>('MENSUAL COMERCIALES'!J14-'MENSUAL COMERCIALES'!J3)/'MENSUAL COMERCIALES'!J3</f>
        <v>-0.10076736672051696</v>
      </c>
      <c r="C27" s="22">
        <f>('MENSUAL COMERCIALES'!J25-'MENSUAL COMERCIALES'!J14)/'MENSUAL COMERCIALES'!J14</f>
        <v>0.64989894453177632</v>
      </c>
      <c r="D27" s="23">
        <f>('MENSUAL COMERCIALES'!J36-'MENSUAL COMERCIALES'!J25)/'MENSUAL COMERCIALES'!J25</f>
        <v>0.24758404791071187</v>
      </c>
      <c r="F27" s="12"/>
      <c r="G27" s="8"/>
      <c r="H27" s="16"/>
      <c r="I27" s="28"/>
      <c r="K27" s="12"/>
      <c r="L27" s="8"/>
      <c r="M27" s="16"/>
      <c r="N27" s="16"/>
    </row>
    <row r="28" spans="1:14" x14ac:dyDescent="0.25">
      <c r="A28" t="s">
        <v>10</v>
      </c>
      <c r="B28" s="27">
        <f>('MENSUAL COMERCIALES'!K14-'MENSUAL COMERCIALES'!K3)/'MENSUAL COMERCIALES'!K3</f>
        <v>-0.17599304146129313</v>
      </c>
      <c r="C28" s="27">
        <f>('MENSUAL COMERCIALES'!K25-'MENSUAL COMERCIALES'!K14)/'MENSUAL COMERCIALES'!K14</f>
        <v>-0.35960591133004927</v>
      </c>
      <c r="D28" s="23">
        <f>('MENSUAL COMERCIALES'!K36-'MENSUAL COMERCIALES'!K25)/'MENSUAL COMERCIALES'!K25</f>
        <v>0.9590659340659341</v>
      </c>
      <c r="G28" s="8"/>
      <c r="H28" s="16"/>
      <c r="I28" s="28"/>
      <c r="L28" s="8"/>
      <c r="M28" s="16"/>
      <c r="N28" s="16"/>
    </row>
    <row r="29" spans="1:14" x14ac:dyDescent="0.25">
      <c r="A29" s="12" t="s">
        <v>11</v>
      </c>
      <c r="B29" s="22">
        <f>('MENSUAL COMERCIALES'!L14-'MENSUAL COMERCIALES'!L3)/'MENSUAL COMERCIALES'!L3</f>
        <v>0.3677432137903705</v>
      </c>
      <c r="C29" s="27">
        <f>('MENSUAL COMERCIALES'!L25-'MENSUAL COMERCIALES'!L14)/'MENSUAL COMERCIALES'!L14</f>
        <v>-6.8231203824424158E-2</v>
      </c>
      <c r="D29" s="23">
        <f>('MENSUAL COMERCIALES'!L36-'MENSUAL COMERCIALES'!L25)/'MENSUAL COMERCIALES'!L25</f>
        <v>4.6486318407960199E-2</v>
      </c>
      <c r="F29" s="12"/>
      <c r="G29" s="8"/>
      <c r="H29" s="16"/>
      <c r="I29" s="28"/>
      <c r="K29" s="12"/>
      <c r="L29" s="8"/>
      <c r="M29" s="16"/>
      <c r="N29" s="16"/>
    </row>
    <row r="30" spans="1:14" x14ac:dyDescent="0.25">
      <c r="A30" t="s">
        <v>12</v>
      </c>
      <c r="B30" s="22">
        <f>('MENSUAL COMERCIALES'!M14-'MENSUAL COMERCIALES'!M3)/'MENSUAL COMERCIALES'!M3</f>
        <v>1.4498620055197793</v>
      </c>
      <c r="C30" s="27">
        <f>('MENSUAL COMERCIALES'!M25-'MENSUAL COMERCIALES'!M14)/'MENSUAL COMERCIALES'!M14</f>
        <v>-0.55764175741644761</v>
      </c>
      <c r="D30" s="23">
        <f>('MENSUAL COMERCIALES'!M36-'MENSUAL COMERCIALES'!M25)/'MENSUAL COMERCIALES'!M25</f>
        <v>0.29230333899264288</v>
      </c>
      <c r="G30" s="8"/>
      <c r="H30" s="16"/>
      <c r="I30" s="28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ageMargins left="0.7" right="0.7" top="0.75" bottom="0.75" header="0.3" footer="0.3"/>
  <ignoredErrors>
    <ignoredError sqref="A3:D23 A30:C30 A24:C24 A25:C25 A26:C26 A27:C27 A28:C28 A29:C29 G4 G20:I22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7D4E-AFC7-48FA-B9EC-BC768F81A5D3}">
  <dimension ref="A1:N30"/>
  <sheetViews>
    <sheetView workbookViewId="0">
      <selection activeCell="I3" sqref="I3:I5"/>
    </sheetView>
  </sheetViews>
  <sheetFormatPr baseColWidth="10" defaultColWidth="11.42578125" defaultRowHeight="15" x14ac:dyDescent="0.25"/>
  <cols>
    <col min="6" max="6" width="17.42578125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7" t="s">
        <v>1</v>
      </c>
      <c r="B3" s="10">
        <f>'MENSUAL COMERCIALES'!B15-'MENSUAL COMERCIALES'!B4</f>
        <v>7602</v>
      </c>
      <c r="C3" s="10">
        <f>'MENSUAL COMERCIALES'!B26-'MENSUAL COMERCIALES'!B15</f>
        <v>-7353</v>
      </c>
      <c r="D3" s="10">
        <f>'MENSUAL COMERCIALES'!B37-'MENSUAL COMERCIALES'!B26</f>
        <v>1648</v>
      </c>
      <c r="F3" s="7" t="s">
        <v>28</v>
      </c>
      <c r="G3" s="10">
        <f>'TRIMESTRAL COMERCIALES'!B15-'TRIMESTRAL COMERCIALES'!B4</f>
        <v>2288</v>
      </c>
      <c r="H3" s="10">
        <f>'TRIMESTRAL COMERCIALES'!B26-'TRIMESTRAL COMERCIALES'!B15</f>
        <v>-12718</v>
      </c>
      <c r="I3" s="10">
        <f>'TRIMESTRAL COMERCIALES'!B37-'TRIMESTRAL COMERCIALES'!B26</f>
        <v>2450</v>
      </c>
      <c r="K3" s="7"/>
      <c r="L3" s="10">
        <f>'ANUAL COMERCIALES'!C5-'ANUAL COMERCIALES'!B5</f>
        <v>7272</v>
      </c>
      <c r="M3" s="10">
        <f>'ANUAL COMERCIALES'!D5-'ANUAL COMERCIALES'!C5</f>
        <v>-17693</v>
      </c>
      <c r="N3" s="10">
        <f>'ANUAL COMERCIALES'!E5-'ANUAL COMERCIALES'!D5</f>
        <v>3766</v>
      </c>
    </row>
    <row r="4" spans="1:14" x14ac:dyDescent="0.25">
      <c r="A4" s="6" t="s">
        <v>2</v>
      </c>
      <c r="B4" s="11">
        <f>'MENSUAL COMERCIALES'!C15-Tabla6[[#This Row],[FEBRERO]]</f>
        <v>-1529</v>
      </c>
      <c r="C4" s="11">
        <f>'MENSUAL COMERCIALES'!C26-'MENSUAL COMERCIALES'!C15</f>
        <v>5035</v>
      </c>
      <c r="D4" s="11">
        <f>'MENSUAL COMERCIALES'!C37-'MENSUAL COMERCIALES'!C26</f>
        <v>-5791</v>
      </c>
      <c r="F4" s="6" t="s">
        <v>29</v>
      </c>
      <c r="G4" s="11">
        <f>'TRIMESTRAL COMERCIALES'!C15-Tabla2[[#This Row],[2DO TRIMESTRE]]</f>
        <v>-8148</v>
      </c>
      <c r="H4" s="11">
        <f>'TRIMESTRAL COMERCIALES'!C26-'TRIMESTRAL COMERCIALES'!C15</f>
        <v>4393</v>
      </c>
      <c r="I4" s="11">
        <f>'TRIMESTRAL COMERCIALES'!C37-'TRIMESTRAL COMERCIALES'!C26</f>
        <v>7843</v>
      </c>
      <c r="K4" s="6"/>
      <c r="L4" s="11"/>
      <c r="M4" s="11"/>
      <c r="N4" s="11"/>
    </row>
    <row r="5" spans="1:14" x14ac:dyDescent="0.25">
      <c r="A5" s="7" t="s">
        <v>3</v>
      </c>
      <c r="B5" s="10">
        <f>'MENSUAL COMERCIALES'!D15-'MENSUAL COMERCIALES'!D4</f>
        <v>-3785</v>
      </c>
      <c r="C5" s="10">
        <f>'MENSUAL COMERCIALES'!D26-'MENSUAL COMERCIALES'!D15</f>
        <v>-10400</v>
      </c>
      <c r="D5" s="10">
        <f>'MENSUAL COMERCIALES'!D37-'MENSUAL COMERCIALES'!D26</f>
        <v>6593</v>
      </c>
      <c r="F5" s="7" t="s">
        <v>30</v>
      </c>
      <c r="G5" s="10">
        <f>'TRIMESTRAL COMERCIALES'!D15-'TRIMESTRAL COMERCIALES'!D4</f>
        <v>-4753</v>
      </c>
      <c r="H5" s="10">
        <f>'TRIMESTRAL COMERCIALES'!D26-'TRIMESTRAL COMERCIALES'!D15</f>
        <v>4149</v>
      </c>
      <c r="I5" s="10">
        <f>'TRIMESTRAL COMERCIALES'!D37-'TRIMESTRAL COMERCIALES'!D26</f>
        <v>-5564</v>
      </c>
      <c r="K5" s="7"/>
      <c r="L5" s="10"/>
      <c r="M5" s="10"/>
      <c r="N5" s="10"/>
    </row>
    <row r="6" spans="1:14" x14ac:dyDescent="0.25">
      <c r="A6" s="6" t="s">
        <v>4</v>
      </c>
      <c r="B6" s="11">
        <f>'MENSUAL COMERCIALES'!E15-'MENSUAL COMERCIALES'!E4</f>
        <v>-3790</v>
      </c>
      <c r="C6" s="11">
        <f>'MENSUAL COMERCIALES'!E26-'MENSUAL COMERCIALES'!E15</f>
        <v>3343</v>
      </c>
      <c r="D6" s="11">
        <f>'MENSUAL COMERCIALES'!E37-'MENSUAL COMERCIALES'!E26</f>
        <v>-1687</v>
      </c>
      <c r="F6" s="6" t="s">
        <v>31</v>
      </c>
      <c r="G6" s="11">
        <f>'TRIMESTRAL COMERCIALES'!E15-'TRIMESTRAL COMERCIALES'!E4</f>
        <v>17885</v>
      </c>
      <c r="H6" s="11">
        <f>'TRIMESTRAL COMERCIALES'!E26-'TRIMESTRAL COMERCIALES'!E15</f>
        <v>-13517</v>
      </c>
      <c r="I6" s="11">
        <f>'TRIMESTRAL COMERCIALES'!E37-'TRIMESTRAL COMERCIALES'!E26</f>
        <v>-963</v>
      </c>
      <c r="K6" s="6"/>
      <c r="L6" s="11"/>
      <c r="M6" s="11"/>
      <c r="N6" s="11"/>
    </row>
    <row r="7" spans="1:14" x14ac:dyDescent="0.25">
      <c r="A7" s="7" t="s">
        <v>5</v>
      </c>
      <c r="B7" s="10">
        <f>'MENSUAL COMERCIALES'!F15-'MENSUAL COMERCIALES'!F4</f>
        <v>-875</v>
      </c>
      <c r="C7" s="10">
        <f>'MENSUAL COMERCIALES'!F26-'MENSUAL COMERCIALES'!F15</f>
        <v>1350</v>
      </c>
      <c r="D7" s="10">
        <f>'MENSUAL COMERCIALES'!F37-'MENSUAL COMERCIALES'!F26</f>
        <v>7356</v>
      </c>
      <c r="F7" s="7"/>
      <c r="G7" s="10"/>
      <c r="H7" s="10"/>
      <c r="I7" s="10"/>
      <c r="K7" s="7"/>
      <c r="L7" s="10"/>
      <c r="M7" s="10"/>
      <c r="N7" s="10"/>
    </row>
    <row r="8" spans="1:14" x14ac:dyDescent="0.25">
      <c r="A8" s="6" t="s">
        <v>6</v>
      </c>
      <c r="B8" s="11">
        <f>'MENSUAL COMERCIALES'!G15-'MENSUAL COMERCIALES'!G4</f>
        <v>-3483</v>
      </c>
      <c r="C8" s="11">
        <f>'MENSUAL COMERCIALES'!G26-'MENSUAL COMERCIALES'!G15</f>
        <v>-300</v>
      </c>
      <c r="D8" s="11">
        <f>'MENSUAL COMERCIALES'!G37-'MENSUAL COMERCIALES'!G26</f>
        <v>2174</v>
      </c>
      <c r="F8" s="6"/>
      <c r="G8" s="11"/>
      <c r="H8" s="11"/>
      <c r="I8" s="11"/>
      <c r="K8" s="6"/>
      <c r="L8" s="11"/>
      <c r="M8" s="11"/>
      <c r="N8" s="11"/>
    </row>
    <row r="9" spans="1:14" x14ac:dyDescent="0.25">
      <c r="A9" s="7" t="s">
        <v>7</v>
      </c>
      <c r="B9" s="10">
        <f>'MENSUAL COMERCIALES'!H15-'MENSUAL COMERCIALES'!H4</f>
        <v>1743</v>
      </c>
      <c r="C9" s="10">
        <f>'MENSUAL COMERCIALES'!H26-'MENSUAL COMERCIALES'!H15</f>
        <v>-368</v>
      </c>
      <c r="D9" s="10">
        <f>'MENSUAL COMERCIALES'!H37-'MENSUAL COMERCIALES'!H26</f>
        <v>-1658</v>
      </c>
      <c r="F9" s="7"/>
      <c r="G9" s="10"/>
      <c r="H9" s="10"/>
      <c r="I9" s="10"/>
      <c r="K9" s="7"/>
      <c r="L9" s="10"/>
      <c r="M9" s="10"/>
      <c r="N9" s="10"/>
    </row>
    <row r="10" spans="1:14" x14ac:dyDescent="0.25">
      <c r="A10" s="6" t="s">
        <v>8</v>
      </c>
      <c r="B10" s="11">
        <f>'MENSUAL COMERCIALES'!I15-'MENSUAL COMERCIALES'!I3</f>
        <v>-499</v>
      </c>
      <c r="C10" s="11">
        <f>'MENSUAL COMERCIALES'!I26-'MENSUAL COMERCIALES'!I15</f>
        <v>8724</v>
      </c>
      <c r="D10" s="11">
        <f>'MENSUAL COMERCIALES'!I37-'MENSUAL COMERCIALES'!I26</f>
        <v>-9105</v>
      </c>
      <c r="F10" s="6"/>
      <c r="G10" s="11"/>
      <c r="H10" s="11"/>
      <c r="I10" s="11"/>
      <c r="K10" s="6"/>
      <c r="L10" s="11"/>
      <c r="M10" s="11"/>
      <c r="N10" s="11"/>
    </row>
    <row r="11" spans="1:14" x14ac:dyDescent="0.25">
      <c r="A11" s="12" t="s">
        <v>9</v>
      </c>
      <c r="B11" s="8">
        <f>'MENSUAL COMERCIALES'!J15-'MENSUAL COMERCIALES'!J4</f>
        <v>-4288</v>
      </c>
      <c r="C11" s="8">
        <f>'MENSUAL COMERCIALES'!J26-'MENSUAL COMERCIALES'!J15</f>
        <v>-4207</v>
      </c>
      <c r="D11" s="8">
        <f>'MENSUAL COMERCIALES'!J37-'MENSUAL COMERCIALES'!J26</f>
        <v>5199</v>
      </c>
      <c r="F11" s="12"/>
      <c r="G11" s="8"/>
      <c r="H11" s="8"/>
      <c r="I11" s="8"/>
      <c r="K11" s="12"/>
      <c r="L11" s="8"/>
      <c r="M11" s="8"/>
      <c r="N11" s="8"/>
    </row>
    <row r="12" spans="1:14" x14ac:dyDescent="0.25">
      <c r="A12" t="s">
        <v>10</v>
      </c>
      <c r="B12" s="8">
        <f>'MENSUAL COMERCIALES'!K15-'MENSUAL COMERCIALES'!K4</f>
        <v>-6186</v>
      </c>
      <c r="C12" s="8">
        <f>'MENSUAL COMERCIALES'!K26-'MENSUAL COMERCIALES'!K15</f>
        <v>513</v>
      </c>
      <c r="D12" s="8">
        <f>'MENSUAL COMERCIALES'!K37-'MENSUAL COMERCIALES'!K26</f>
        <v>1938</v>
      </c>
      <c r="G12" s="8"/>
      <c r="H12" s="8"/>
      <c r="I12" s="8"/>
      <c r="L12" s="8"/>
      <c r="M12" s="8"/>
      <c r="N12" s="8"/>
    </row>
    <row r="13" spans="1:14" x14ac:dyDescent="0.25">
      <c r="A13" s="12" t="s">
        <v>11</v>
      </c>
      <c r="B13" s="8">
        <f>'MENSUAL COMERCIALES'!L15-'MENSUAL COMERCIALES'!L4</f>
        <v>12821</v>
      </c>
      <c r="C13" s="8">
        <f>'MENSUAL COMERCIALES'!L26-'MENSUAL COMERCIALES'!L15</f>
        <v>-4079</v>
      </c>
      <c r="D13" s="8">
        <f>'MENSUAL COMERCIALES'!L37-'MENSUAL COMERCIALES'!L26</f>
        <v>-4568</v>
      </c>
      <c r="F13" s="12"/>
      <c r="G13" s="8"/>
      <c r="H13" s="8"/>
      <c r="I13" s="8"/>
      <c r="K13" s="12"/>
      <c r="L13" s="8"/>
      <c r="M13" s="8"/>
      <c r="N13" s="8"/>
    </row>
    <row r="14" spans="1:14" x14ac:dyDescent="0.25">
      <c r="A14" t="s">
        <v>12</v>
      </c>
      <c r="B14" s="8">
        <f>'MENSUAL COMERCIALES'!M15-'MENSUAL COMERCIALES'!M4</f>
        <v>11250</v>
      </c>
      <c r="C14" s="8">
        <f>'MENSUAL COMERCIALES'!M26-'MENSUAL COMERCIALES'!M15</f>
        <v>-9951</v>
      </c>
      <c r="D14" s="8">
        <f>'MENSUAL COMERCIALES'!M37-'MENSUAL COMERCIALES'!M26</f>
        <v>1667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13" t="s">
        <v>32</v>
      </c>
      <c r="B18" s="13" t="s">
        <v>25</v>
      </c>
      <c r="C18" s="13" t="s">
        <v>26</v>
      </c>
      <c r="D18" s="13" t="s">
        <v>27</v>
      </c>
      <c r="F18" s="13" t="s">
        <v>32</v>
      </c>
      <c r="G18" s="13" t="s">
        <v>25</v>
      </c>
      <c r="H18" s="13" t="s">
        <v>26</v>
      </c>
      <c r="I18" s="13" t="s">
        <v>27</v>
      </c>
      <c r="K18" s="13" t="s">
        <v>32</v>
      </c>
      <c r="L18" s="13" t="s">
        <v>25</v>
      </c>
      <c r="M18" s="13" t="s">
        <v>26</v>
      </c>
      <c r="N18" s="13" t="s">
        <v>27</v>
      </c>
    </row>
    <row r="19" spans="1:14" x14ac:dyDescent="0.25">
      <c r="A19" s="6" t="s">
        <v>1</v>
      </c>
      <c r="B19" s="25">
        <f>('MENSUAL COMERCIALES'!B15-'MENSUAL COMERCIALES'!B4)/1</f>
        <v>7602</v>
      </c>
      <c r="C19" s="27">
        <f>('MENSUAL COMERCIALES'!B26-'MENSUAL COMERCIALES'!B15)/'MENSUAL COMERCIALES'!B15</f>
        <v>-0.96724546172059989</v>
      </c>
      <c r="D19" s="25">
        <f>('MENSUAL COMERCIALES'!B37-'MENSUAL COMERCIALES'!B26)/'MENSUAL COMERCIALES'!B26</f>
        <v>6.618473895582329</v>
      </c>
      <c r="F19" s="6" t="s">
        <v>28</v>
      </c>
      <c r="G19" s="21">
        <f>('TRIMESTRAL COMERCIALES'!B15-'TRIMESTRAL COMERCIALES'!B4)/'TRIMESTRAL COMERCIALES'!B4</f>
        <v>0.13719493913773462</v>
      </c>
      <c r="H19" s="19">
        <f>('TRIMESTRAL COMERCIALES'!B26-'TRIMESTRAL COMERCIALES'!B15)/'TRIMESTRAL COMERCIALES'!B15</f>
        <v>-0.67060374373846554</v>
      </c>
      <c r="I19" s="21">
        <f>('TRIMESTRAL COMERCIALES'!B37-'TRIMESTRAL COMERCIALES'!B26)/'TRIMESTRAL COMERCIALES'!B26</f>
        <v>0.39218825036017291</v>
      </c>
      <c r="K19" s="6"/>
      <c r="L19" s="21">
        <f>('ANUAL COMERCIALES'!C5-'ANUAL COMERCIALES'!B5)/'ANUAL COMERCIALES'!B5</f>
        <v>0.13891117478510029</v>
      </c>
      <c r="M19" s="19">
        <f>('ANUAL COMERCIALES'!D5-'ANUAL COMERCIALES'!C5)/'ANUAL COMERCIALES'!C5</f>
        <v>-0.29675287645499981</v>
      </c>
      <c r="N19" s="21">
        <f>('ANUAL COMERCIALES'!E5-'ANUAL COMERCIALES'!D5)/'ANUAL COMERCIALES'!D5</f>
        <v>8.9818502706957001E-2</v>
      </c>
    </row>
    <row r="20" spans="1:14" x14ac:dyDescent="0.25">
      <c r="A20" s="6" t="s">
        <v>2</v>
      </c>
      <c r="B20" s="27">
        <f>('MENSUAL COMERCIALES'!C15-'MENSUAL COMERCIALES'!C4)/'MENSUAL COMERCIALES'!C4</f>
        <v>-0.6135634028892456</v>
      </c>
      <c r="C20" s="25">
        <f>('MENSUAL COMERCIALES'!C26-'MENSUAL COMERCIALES'!C15)/'MENSUAL COMERCIALES'!C15</f>
        <v>5.2284527518172377</v>
      </c>
      <c r="D20" s="27">
        <f>('MENSUAL COMERCIALES'!C37-'MENSUAL COMERCIALES'!C26)/'MENSUAL COMERCIALES'!C26</f>
        <v>-0.96548849616538845</v>
      </c>
      <c r="F20" s="6" t="s">
        <v>29</v>
      </c>
      <c r="G20" s="19">
        <f>('TRIMESTRAL COMERCIALES'!C15-'TRIMESTRAL COMERCIALES'!C4)/'TRIMESTRAL COMERCIALES'!C4</f>
        <v>-0.7173166651994014</v>
      </c>
      <c r="H20" s="21">
        <f>('TRIMESTRAL COMERCIALES'!C26-'TRIMESTRAL COMERCIALES'!C15)/'TRIMESTRAL COMERCIALES'!C15</f>
        <v>1.368109623170352</v>
      </c>
      <c r="I20" s="21">
        <f>('TRIMESTRAL COMERCIALES'!C37-'TRIMESTRAL COMERCIALES'!C26)/'TRIMESTRAL COMERCIALES'!C26</f>
        <v>1.0314308258811151</v>
      </c>
      <c r="K20" s="6"/>
      <c r="L20" s="18"/>
      <c r="M20" s="18"/>
      <c r="N20" s="18"/>
    </row>
    <row r="21" spans="1:14" x14ac:dyDescent="0.25">
      <c r="A21" s="6" t="s">
        <v>3</v>
      </c>
      <c r="B21" s="27">
        <f>('MENSUAL COMERCIALES'!D15-'MENSUAL COMERCIALES'!D4)/'MENSUAL COMERCIALES'!D4</f>
        <v>-0.2668311596757138</v>
      </c>
      <c r="C21" s="27">
        <f>('MENSUAL COMERCIALES'!D26-'MENSUAL COMERCIALES'!D15)/'MENSUAL COMERCIALES'!D15</f>
        <v>-1</v>
      </c>
      <c r="D21" s="25">
        <f>('MENSUAL COMERCIALES'!D37-'MENSUAL COMERCIALES'!D26)/1</f>
        <v>6593</v>
      </c>
      <c r="F21" s="6" t="s">
        <v>30</v>
      </c>
      <c r="G21" s="19">
        <f>('TRIMESTRAL COMERCIALES'!D15-'TRIMESTRAL COMERCIALES'!D4)/'TRIMESTRAL COMERCIALES'!D4</f>
        <v>-0.32577107607950651</v>
      </c>
      <c r="H21" s="21">
        <f>('TRIMESTRAL COMERCIALES'!D26-'TRIMESTRAL COMERCIALES'!D14)/'TRIMESTRAL COMERCIALES'!D14</f>
        <v>0.42772560228664763</v>
      </c>
      <c r="I21" s="21">
        <f>('TRIMESTRAL COMERCIALES'!D37-'TRIMESTRAL COMERCIALES'!D26)/'TRIMESTRAL COMERCIALES'!D26</f>
        <v>-0.39782639782639784</v>
      </c>
      <c r="K21" s="6"/>
      <c r="L21" s="18"/>
      <c r="M21" s="18"/>
      <c r="N21" s="18"/>
    </row>
    <row r="22" spans="1:14" x14ac:dyDescent="0.25">
      <c r="A22" s="6" t="s">
        <v>4</v>
      </c>
      <c r="B22" s="27">
        <f>('MENSUAL COMERCIALES'!E15-'MENSUAL COMERCIALES'!E4)/'MENSUAL COMERCIALES'!E4</f>
        <v>-1</v>
      </c>
      <c r="C22" s="25">
        <f>('MENSUAL COMERCIALES'!E26-'MENSUAL COMERCIALES'!E15)/1</f>
        <v>3343</v>
      </c>
      <c r="D22" s="27">
        <f>('MENSUAL COMERCIALES'!E37-'MENSUAL COMERCIALES'!E26)/'MENSUAL COMERCIALES'!E26</f>
        <v>-0.50463655399341911</v>
      </c>
      <c r="F22" s="6" t="s">
        <v>31</v>
      </c>
      <c r="G22" s="21">
        <f>('TRIMESTRAL COMERCIALES'!E15-'TRIMESTRAL COMERCIALES'!E4)/'TRIMESTRAL COMERCIALES'!E4</f>
        <v>1.8392636774989717</v>
      </c>
      <c r="H22" s="19">
        <f>('TRIMESTRAL COMERCIALES'!E26-'TRIMESTRAL COMERCIALES'!E15)/'TRIMESTRAL COMERCIALES'!E15</f>
        <v>-0.48958672896519251</v>
      </c>
      <c r="I22" s="21">
        <f>('TRIMESTRAL COMERCIALES'!E37-'TRIMESTRAL COMERCIALES'!E26)/'TRIMESTRAL COMERCIALES'!E26</f>
        <v>-6.8336644904910593E-2</v>
      </c>
      <c r="K22" s="6"/>
      <c r="L22" s="18"/>
      <c r="M22" s="18"/>
      <c r="N22" s="18"/>
    </row>
    <row r="23" spans="1:14" x14ac:dyDescent="0.25">
      <c r="A23" s="6" t="s">
        <v>5</v>
      </c>
      <c r="B23" s="27">
        <f>('MENSUAL COMERCIALES'!F15-'MENSUAL COMERCIALES'!F4)/'MENSUAL COMERCIALES'!F4</f>
        <v>-0.33967391304347827</v>
      </c>
      <c r="C23" s="25">
        <f>('MENSUAL COMERCIALES'!F26-'MENSUAL COMERCIALES'!F15)/'MENSUAL COMERCIALES'!F15</f>
        <v>0.79365079365079361</v>
      </c>
      <c r="D23" s="25">
        <f>('MENSUAL COMERCIALES'!F37-'MENSUAL COMERCIALES'!F26)/'MENSUAL COMERCIALES'!F26</f>
        <v>2.4110127826941987</v>
      </c>
      <c r="F23" s="6"/>
      <c r="G23" s="18"/>
      <c r="H23" s="18"/>
      <c r="I23" s="18"/>
      <c r="K23" s="6"/>
      <c r="L23" s="18"/>
      <c r="M23" s="18"/>
      <c r="N23" s="18"/>
    </row>
    <row r="24" spans="1:14" x14ac:dyDescent="0.25">
      <c r="A24" s="6" t="s">
        <v>6</v>
      </c>
      <c r="B24" s="27">
        <f>('MENSUAL COMERCIALES'!G15-'MENSUAL COMERCIALES'!G4)/'MENSUAL COMERCIALES'!G4</f>
        <v>-0.69757660725015025</v>
      </c>
      <c r="C24" s="27">
        <f>('MENSUAL COMERCIALES'!G26-'MENSUAL COMERCIALES'!G15)/'MENSUAL COMERCIALES'!G15</f>
        <v>-0.19867549668874171</v>
      </c>
      <c r="D24" s="25">
        <f>('MENSUAL COMERCIALES'!G37-'MENSUAL COMERCIALES'!G26)/'MENSUAL COMERCIALES'!G26</f>
        <v>1.796694214876033</v>
      </c>
      <c r="F24" s="6"/>
      <c r="G24" s="18"/>
      <c r="H24" s="18"/>
      <c r="I24" s="18"/>
      <c r="K24" s="6"/>
      <c r="L24" s="18"/>
      <c r="M24" s="18"/>
      <c r="N24" s="18"/>
    </row>
    <row r="25" spans="1:14" x14ac:dyDescent="0.25">
      <c r="A25" s="6" t="s">
        <v>7</v>
      </c>
      <c r="B25" s="25">
        <f>('MENSUAL COMERCIALES'!H15-'MENSUAL COMERCIALES'!H4)/'MENSUAL COMERCIALES'!H4</f>
        <v>0.83838383838383834</v>
      </c>
      <c r="C25" s="27">
        <f>('MENSUAL COMERCIALES'!H26-'MENSUAL COMERCIALES'!H15)/'MENSUAL COMERCIALES'!H15</f>
        <v>-9.6284667713239139E-2</v>
      </c>
      <c r="D25" s="25">
        <f>('MENSUAL COMERCIALES'!H37-'MENSUAL COMERCIALES'!H26)/'MENSUAL COMERCIALES'!H26</f>
        <v>-0.48002316155182395</v>
      </c>
      <c r="F25" s="6"/>
      <c r="G25" s="18"/>
      <c r="H25" s="18"/>
      <c r="I25" s="18"/>
      <c r="K25" s="6"/>
      <c r="L25" s="18"/>
      <c r="M25" s="18"/>
      <c r="N25" s="18"/>
    </row>
    <row r="26" spans="1:14" x14ac:dyDescent="0.25">
      <c r="A26" s="6" t="s">
        <v>8</v>
      </c>
      <c r="B26" s="27">
        <f>('MENSUAL COMERCIALES'!I15-'MENSUAL COMERCIALES'!I4)/'MENSUAL COMERCIALES'!I4</f>
        <v>-0.61572783045175683</v>
      </c>
      <c r="C26" s="25">
        <f>('MENSUAL COMERCIALES'!I26-'MENSUAL COMERCIALES'!I15)/'MENSUAL COMERCIALES'!I15</f>
        <v>6.3309143686502178</v>
      </c>
      <c r="D26" s="25">
        <f>('MENSUAL COMERCIALES'!I37-'MENSUAL COMERCIALES'!I26)/'MENSUAL COMERCIALES'!I26</f>
        <v>-0.90130667194614933</v>
      </c>
      <c r="F26" s="6"/>
      <c r="G26" s="18"/>
      <c r="H26" s="18"/>
      <c r="I26" s="18"/>
      <c r="K26" s="6"/>
      <c r="L26" s="18"/>
      <c r="M26" s="18"/>
      <c r="N26" s="18"/>
    </row>
    <row r="27" spans="1:14" x14ac:dyDescent="0.25">
      <c r="A27" t="s">
        <v>9</v>
      </c>
      <c r="B27" s="30">
        <f>('MENSUAL COMERCIALES'!J15-'MENSUAL COMERCIALES'!J4)/'MENSUAL COMERCIALES'!J4</f>
        <v>-0.48044817927170869</v>
      </c>
      <c r="C27" s="27">
        <f>('MENSUAL COMERCIALES'!J26-'MENSUAL COMERCIALES'!J15)/'MENSUAL COMERCIALES'!J15</f>
        <v>-0.90726762993314647</v>
      </c>
      <c r="D27" s="25">
        <f>('MENSUAL COMERCIALES'!J37-'MENSUAL COMERCIALES'!J26)/'MENSUAL COMERCIALES'!J26</f>
        <v>12.090697674418605</v>
      </c>
      <c r="G27" s="8"/>
      <c r="H27" s="16"/>
      <c r="I27" s="16"/>
      <c r="L27" s="8"/>
      <c r="M27" s="16"/>
      <c r="N27" s="16"/>
    </row>
    <row r="28" spans="1:14" x14ac:dyDescent="0.25">
      <c r="A28" t="s">
        <v>10</v>
      </c>
      <c r="B28" s="30">
        <f>('MENSUAL COMERCIALES'!K15-'MENSUAL COMERCIALES'!K4)/'MENSUAL COMERCIALES'!K4</f>
        <v>-0.88069476082004561</v>
      </c>
      <c r="C28" s="25">
        <f>('MENSUAL COMERCIALES'!K26-'MENSUAL COMERCIALES'!K15)/'MENSUAL COMERCIALES'!K15</f>
        <v>0.61217183770883055</v>
      </c>
      <c r="D28" s="25">
        <f>('MENSUAL COMERCIALES'!K37-'MENSUAL COMERCIALES'!K26)/'MENSUAL COMERCIALES'!K26</f>
        <v>1.4344929681717247</v>
      </c>
      <c r="G28" s="8"/>
      <c r="H28" s="16"/>
      <c r="I28" s="16"/>
      <c r="L28" s="8"/>
      <c r="M28" s="16"/>
      <c r="N28" s="16"/>
    </row>
    <row r="29" spans="1:14" x14ac:dyDescent="0.25">
      <c r="A29" t="s">
        <v>11</v>
      </c>
      <c r="B29" s="29">
        <f>('MENSUAL COMERCIALES'!L15-'MENSUAL COMERCIALES'!L4)/'MENSUAL COMERCIALES'!L4</f>
        <v>5.8330300272975428</v>
      </c>
      <c r="C29" s="27">
        <f>('MENSUAL COMERCIALES'!L26-'MENSUAL COMERCIALES'!L15)/'MENSUAL COMERCIALES'!L15</f>
        <v>-0.27158932019442039</v>
      </c>
      <c r="D29" s="25">
        <f>('MENSUAL COMERCIALES'!L37-'MENSUAL COMERCIALES'!L26)/'MENSUAL COMERCIALES'!L26</f>
        <v>-0.41755027422303476</v>
      </c>
      <c r="G29" s="8"/>
      <c r="H29" s="16"/>
      <c r="I29" s="16"/>
      <c r="L29" s="8"/>
      <c r="M29" s="16"/>
      <c r="N29" s="16"/>
    </row>
    <row r="30" spans="1:14" x14ac:dyDescent="0.25">
      <c r="A30" t="s">
        <v>12</v>
      </c>
      <c r="B30" s="29">
        <f>('MENSUAL COMERCIALES'!M15-'MENSUAL COMERCIALES'!M4)/'MENSUAL COMERCIALES'!M4</f>
        <v>22.410358565737052</v>
      </c>
      <c r="C30" s="25">
        <f>('MENSUAL COMERCIALES'!I30-'MENSUAL COMERCIALES'!I19)/'MENSUAL COMERCIALES'!I19</f>
        <v>1.064988849952214</v>
      </c>
      <c r="D30" s="25">
        <f>('MENSUAL COMERCIALES'!M37-'MENSUAL COMERCIALES'!M26)/'MENSUAL COMERCIALES'!M26</f>
        <v>0.92559689061632422</v>
      </c>
      <c r="G30" s="8"/>
      <c r="H30" s="16"/>
      <c r="I30" s="16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honeticPr fontId="1" type="noConversion"/>
  <pageMargins left="0.7" right="0.7" top="0.75" bottom="0.75" header="0.3" footer="0.3"/>
  <ignoredErrors>
    <ignoredError sqref="G20:I22 G4:I6 B3:D14 B20:D30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1A73-231F-4BBC-B9D1-99085488BA11}">
  <dimension ref="A1:N30"/>
  <sheetViews>
    <sheetView workbookViewId="0">
      <selection activeCell="I3" sqref="I3:I5"/>
    </sheetView>
  </sheetViews>
  <sheetFormatPr baseColWidth="10" defaultColWidth="11.42578125" defaultRowHeight="15" x14ac:dyDescent="0.25"/>
  <cols>
    <col min="6" max="6" width="18" customWidth="1"/>
    <col min="11" max="11" width="17.140625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6" t="s">
        <v>1</v>
      </c>
      <c r="B3" s="18">
        <f>'MENSUAL COMERCIALES'!B16-'MENSUAL COMERCIALES'!B5</f>
        <v>12794</v>
      </c>
      <c r="C3" s="32">
        <f>'MENSUAL COMERCIALES'!B27-'MENSUAL COMERCIALES'!B16</f>
        <v>-4772</v>
      </c>
      <c r="D3" s="18">
        <f>'MENSUAL COMERCIALES'!B38-'MENSUAL COMERCIALES'!B27</f>
        <v>-4426</v>
      </c>
      <c r="F3" s="7" t="s">
        <v>28</v>
      </c>
      <c r="G3" s="10">
        <f>'TRIMESTRAL COMERCIALES'!B16-'TRIMESTRAL COMERCIALES'!B5</f>
        <v>-48</v>
      </c>
      <c r="H3" s="10">
        <f>'TRIMESTRAL COMERCIALES'!B27-'TRIMESTRAL COMERCIALES'!B16</f>
        <v>-21102</v>
      </c>
      <c r="I3" s="10">
        <f>'TRIMESTRAL COMERCIALES'!B38-'TRIMESTRAL COMERCIALES'!B27</f>
        <v>-2960</v>
      </c>
      <c r="K3" s="7"/>
      <c r="L3" s="10">
        <f>'ANUAL COMERCIALES'!C6-'ANUAL COMERCIALES'!B6</f>
        <v>-40194</v>
      </c>
      <c r="M3" s="10">
        <f>'ANUAL COMERCIALES'!D6-'ANUAL COMERCIALES'!C6</f>
        <v>-4208</v>
      </c>
      <c r="N3" s="10">
        <f>'ANUAL COMERCIALES'!E6-'ANUAL COMERCIALES'!D6</f>
        <v>-21844</v>
      </c>
    </row>
    <row r="4" spans="1:14" x14ac:dyDescent="0.25">
      <c r="A4" s="6" t="s">
        <v>2</v>
      </c>
      <c r="B4" s="18">
        <f>'MENSUAL COMERCIALES'!C16-'MENSUAL COMERCIALES'!C5</f>
        <v>-12718</v>
      </c>
      <c r="C4" s="32">
        <f>'MENSUAL COMERCIALES'!C27-'MENSUAL COMERCIALES'!C16</f>
        <v>-1786</v>
      </c>
      <c r="D4" s="32">
        <f>'MENSUAL COMERCIALES'!C38-'MENSUAL COMERCIALES'!C27</f>
        <v>-3471</v>
      </c>
      <c r="F4" s="6" t="s">
        <v>29</v>
      </c>
      <c r="G4" s="11">
        <f>'TRIMESTRAL COMERCIALES'!C16-'TRIMESTRAL COMERCIALES'!C5</f>
        <v>-25523</v>
      </c>
      <c r="H4" s="11">
        <f>'TRIMESTRAL COMERCIALES'!C27-'TRIMESTRAL COMERCIALES'!C16</f>
        <v>15240</v>
      </c>
      <c r="I4" s="11">
        <f>'TRIMESTRAL COMERCIALES'!C38-'TRIMESTRAL COMERCIALES'!C27</f>
        <v>-7085</v>
      </c>
      <c r="K4" s="6"/>
      <c r="L4" s="11"/>
      <c r="M4" s="11"/>
      <c r="N4" s="11"/>
    </row>
    <row r="5" spans="1:14" x14ac:dyDescent="0.25">
      <c r="A5" s="6" t="s">
        <v>3</v>
      </c>
      <c r="B5" s="18">
        <f>'MENSUAL COMERCIALES'!D16-'MENSUAL COMERCIALES'!D5</f>
        <v>-124</v>
      </c>
      <c r="C5" s="32">
        <f>'MENSUAL COMERCIALES'!D27-'MENSUAL COMERCIALES'!D16</f>
        <v>-14544</v>
      </c>
      <c r="D5" s="18">
        <f>'MENSUAL COMERCIALES'!D38-'MENSUAL COMERCIALES'!D27</f>
        <v>4937</v>
      </c>
      <c r="F5" s="7" t="s">
        <v>30</v>
      </c>
      <c r="G5" s="10">
        <f>'TRIMESTRAL COMERCIALES'!D16-Tabla2[[#This Row],[3ER TRIMESTRE]]</f>
        <v>-3094</v>
      </c>
      <c r="H5" s="10">
        <f>'TRIMESTRAL COMERCIALES'!D27-'TRIMESTRAL COMERCIALES'!D16</f>
        <v>1488</v>
      </c>
      <c r="I5" s="10">
        <f>'TRIMESTRAL COMERCIALES'!D38-'TRIMESTRAL COMERCIALES'!D27</f>
        <v>-5395</v>
      </c>
      <c r="K5" s="7"/>
      <c r="L5" s="10"/>
      <c r="M5" s="10"/>
      <c r="N5" s="10"/>
    </row>
    <row r="6" spans="1:14" x14ac:dyDescent="0.25">
      <c r="A6" s="6" t="s">
        <v>4</v>
      </c>
      <c r="B6" s="18">
        <f>'MENSUAL COMERCIALES'!E16-'MENSUAL COMERCIALES'!E5</f>
        <v>-4469</v>
      </c>
      <c r="C6" s="32">
        <f>'MENSUAL COMERCIALES'!E27-'MENSUAL COMERCIALES'!E16</f>
        <v>6710</v>
      </c>
      <c r="D6" s="18">
        <f>'MENSUAL COMERCIALES'!E38-'MENSUAL COMERCIALES'!E27</f>
        <v>-5489</v>
      </c>
      <c r="F6" s="6" t="s">
        <v>31</v>
      </c>
      <c r="G6" s="11">
        <f>'TRIMESTRAL COMERCIALES'!E16-'TRIMESTRAL COMERCIALES'!E5</f>
        <v>-11529</v>
      </c>
      <c r="H6" s="11">
        <f>'TRIMESTRAL COMERCIALES'!E27-'TRIMESTRAL COMERCIALES'!E16</f>
        <v>166</v>
      </c>
      <c r="I6" s="11">
        <f>'TRIMESTRAL COMERCIALES'!E38-'TRIMESTRAL COMERCIALES'!E27</f>
        <v>-6404</v>
      </c>
      <c r="K6" s="6"/>
      <c r="L6" s="11"/>
      <c r="M6" s="11"/>
      <c r="N6" s="11"/>
    </row>
    <row r="7" spans="1:14" x14ac:dyDescent="0.25">
      <c r="A7" s="6" t="s">
        <v>5</v>
      </c>
      <c r="B7" s="18">
        <f>'MENSUAL COMERCIALES'!F16-'MENSUAL COMERCIALES'!F5</f>
        <v>-17935</v>
      </c>
      <c r="C7" s="32">
        <f>'MENSUAL COMERCIALES'!F27-'MENSUAL COMERCIALES'!F16</f>
        <v>4496</v>
      </c>
      <c r="D7" s="18">
        <f>'MENSUAL COMERCIALES'!F38-'MENSUAL COMERCIALES'!F27</f>
        <v>-8347</v>
      </c>
      <c r="F7" s="7"/>
      <c r="G7" s="10"/>
      <c r="H7" s="10"/>
      <c r="I7" s="10"/>
      <c r="K7" s="7"/>
      <c r="L7" s="10"/>
      <c r="M7" s="10"/>
      <c r="N7" s="10"/>
    </row>
    <row r="8" spans="1:14" x14ac:dyDescent="0.25">
      <c r="A8" s="6" t="s">
        <v>6</v>
      </c>
      <c r="B8" s="18">
        <f>'MENSUAL COMERCIALES'!G16-'MENSUAL COMERCIALES'!G5</f>
        <v>-3119</v>
      </c>
      <c r="C8" s="32">
        <f>'MENSUAL COMERCIALES'!G27-'MENSUAL COMERCIALES'!G16</f>
        <v>4034</v>
      </c>
      <c r="D8" s="18">
        <f>'MENSUAL COMERCIALES'!G38-'MENSUAL COMERCIALES'!G27</f>
        <v>6751</v>
      </c>
      <c r="F8" s="6"/>
      <c r="G8" s="11"/>
      <c r="H8" s="11"/>
      <c r="I8" s="11"/>
      <c r="K8" s="6"/>
      <c r="L8" s="11"/>
      <c r="M8" s="11"/>
      <c r="N8" s="11"/>
    </row>
    <row r="9" spans="1:14" x14ac:dyDescent="0.25">
      <c r="A9" s="6" t="s">
        <v>7</v>
      </c>
      <c r="B9" s="18">
        <f>'MENSUAL COMERCIALES'!H16-'MENSUAL COMERCIALES'!H5</f>
        <v>-11096</v>
      </c>
      <c r="C9" s="32">
        <f>'MENSUAL COMERCIALES'!H27-'MENSUAL COMERCIALES'!H16</f>
        <v>9673</v>
      </c>
      <c r="D9" s="18">
        <f>'MENSUAL COMERCIALES'!H38-'MENSUAL COMERCIALES'!H27</f>
        <v>-5678</v>
      </c>
      <c r="F9" s="7"/>
      <c r="G9" s="10"/>
      <c r="H9" s="10"/>
      <c r="I9" s="10"/>
      <c r="K9" s="7"/>
      <c r="L9" s="10"/>
      <c r="M9" s="10"/>
      <c r="N9" s="10"/>
    </row>
    <row r="10" spans="1:14" x14ac:dyDescent="0.25">
      <c r="A10" s="6" t="s">
        <v>8</v>
      </c>
      <c r="B10" s="18">
        <f>'MENSUAL COMERCIALES'!I16-'MENSUAL COMERCIALES'!I5</f>
        <v>3594</v>
      </c>
      <c r="C10" s="32">
        <f>'MENSUAL COMERCIALES'!I27-'MENSUAL COMERCIALES'!I16</f>
        <v>-7176</v>
      </c>
      <c r="D10" s="18">
        <f>'MENSUAL COMERCIALES'!I38-'MENSUAL COMERCIALES'!I27</f>
        <v>-1470</v>
      </c>
      <c r="F10" s="6"/>
      <c r="G10" s="11"/>
      <c r="H10" s="11"/>
      <c r="I10" s="11"/>
      <c r="K10" s="6"/>
      <c r="L10" s="11"/>
      <c r="M10" s="11"/>
      <c r="N10" s="11"/>
    </row>
    <row r="11" spans="1:14" x14ac:dyDescent="0.25">
      <c r="A11" t="s">
        <v>9</v>
      </c>
      <c r="B11" s="18">
        <f>'MENSUAL COMERCIALES'!J16-'MENSUAL COMERCIALES'!J5</f>
        <v>4408</v>
      </c>
      <c r="C11" s="32">
        <f>'MENSUAL COMERCIALES'!J27-'MENSUAL COMERCIALES'!J16</f>
        <v>-1009</v>
      </c>
      <c r="D11" s="18">
        <f>'MENSUAL COMERCIALES'!J38-'MENSUAL COMERCIALES'!J27</f>
        <v>1753</v>
      </c>
      <c r="F11" s="12"/>
      <c r="G11" s="8"/>
      <c r="H11" s="8"/>
      <c r="I11" s="8"/>
      <c r="K11" s="12"/>
      <c r="L11" s="8"/>
      <c r="M11" s="8"/>
      <c r="N11" s="8"/>
    </row>
    <row r="12" spans="1:14" x14ac:dyDescent="0.25">
      <c r="A12" t="s">
        <v>10</v>
      </c>
      <c r="B12" s="18">
        <f>'MENSUAL COMERCIALES'!K16-'MENSUAL COMERCIALES'!K5</f>
        <v>-4612</v>
      </c>
      <c r="C12" s="32">
        <f>'MENSUAL COMERCIALES'!K27-'MENSUAL COMERCIALES'!K16</f>
        <v>5597</v>
      </c>
      <c r="D12" s="18">
        <f>'MENSUAL COMERCIALES'!K38-'MENSUAL COMERCIALES'!K27</f>
        <v>-3749</v>
      </c>
      <c r="G12" s="8"/>
      <c r="H12" s="8"/>
      <c r="I12" s="8"/>
      <c r="L12" s="8"/>
      <c r="M12" s="8"/>
      <c r="N12" s="8"/>
    </row>
    <row r="13" spans="1:14" x14ac:dyDescent="0.25">
      <c r="A13" t="s">
        <v>11</v>
      </c>
      <c r="B13" s="18">
        <f>'MENSUAL COMERCIALES'!L16-'MENSUAL COMERCIALES'!L5</f>
        <v>-5812</v>
      </c>
      <c r="C13" s="32">
        <f>'MENSUAL COMERCIALES'!L27-'MENSUAL COMERCIALES'!L16</f>
        <v>-4225</v>
      </c>
      <c r="D13" s="18">
        <f>'MENSUAL COMERCIALES'!L38-'MENSUAL COMERCIALES'!L27</f>
        <v>-706</v>
      </c>
      <c r="F13" s="12"/>
      <c r="G13" s="8"/>
      <c r="H13" s="8"/>
      <c r="I13" s="8"/>
      <c r="K13" s="12"/>
      <c r="L13" s="8"/>
      <c r="M13" s="8"/>
      <c r="N13" s="8"/>
    </row>
    <row r="14" spans="1:14" x14ac:dyDescent="0.25">
      <c r="A14" t="s">
        <v>12</v>
      </c>
      <c r="B14" s="18">
        <f>'MENSUAL COMERCIALES'!M16-'MENSUAL COMERCIALES'!M5</f>
        <v>-1105</v>
      </c>
      <c r="C14" s="32">
        <f>'MENSUAL COMERCIALES'!M27-'MENSUAL COMERCIALES'!M16</f>
        <v>-1206</v>
      </c>
      <c r="D14" s="18">
        <f>'MENSUAL COMERCIALES'!M38-'MENSUAL COMERCIALES'!M27</f>
        <v>-1949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13" t="s">
        <v>32</v>
      </c>
      <c r="B18" s="13" t="s">
        <v>25</v>
      </c>
      <c r="C18" s="13" t="s">
        <v>26</v>
      </c>
      <c r="D18" s="13" t="s">
        <v>27</v>
      </c>
      <c r="F18" s="31" t="s">
        <v>32</v>
      </c>
      <c r="G18" s="31" t="s">
        <v>25</v>
      </c>
      <c r="H18" s="31" t="s">
        <v>26</v>
      </c>
      <c r="I18" s="31" t="s">
        <v>27</v>
      </c>
      <c r="K18" s="31" t="s">
        <v>32</v>
      </c>
      <c r="L18" s="31" t="s">
        <v>25</v>
      </c>
      <c r="M18" s="31" t="s">
        <v>26</v>
      </c>
      <c r="N18" s="31" t="s">
        <v>27</v>
      </c>
    </row>
    <row r="19" spans="1:14" x14ac:dyDescent="0.25">
      <c r="A19" s="6" t="s">
        <v>1</v>
      </c>
      <c r="B19" s="25">
        <f>('MENSUAL COMERCIALES'!B16-'MENSUAL COMERCIALES'!B5)/'MENSUAL COMERCIALES'!B5</f>
        <v>16.072864321608041</v>
      </c>
      <c r="C19" s="27">
        <f>('MENSUAL COMERCIALES'!B27-'MENSUAL COMERCIALES'!B16)/'MENSUAL COMERCIALES'!B16</f>
        <v>-0.35114054451802795</v>
      </c>
      <c r="D19" s="27">
        <f>('MENSUAL COMERCIALES'!B38-'MENSUAL COMERCIALES'!B27)/'MENSUAL COMERCIALES'!B27</f>
        <v>-0.50192787480154233</v>
      </c>
      <c r="F19" s="6" t="s">
        <v>28</v>
      </c>
      <c r="G19" s="27">
        <f>('TRIMESTRAL COMERCIALES'!B16-'TRIMESTRAL COMERCIALES'!B5)/'TRIMESTRAL COMERCIALES'!B5</f>
        <v>-1.3184277748784575E-3</v>
      </c>
      <c r="H19" s="27">
        <f>('TRIMESTRAL COMERCIALES'!B27-'TRIMESTRAL COMERCIALES'!B16)/'TRIMESTRAL COMERCIALES'!B16</f>
        <v>-0.58037899832228612</v>
      </c>
      <c r="I19" s="27">
        <f>('TRIMESTRAL COMERCIALES'!B38-'TRIMESTRAL COMERCIALES'!B27)/'TRIMESTRAL COMERCIALES'!B27</f>
        <v>-0.19400930720325096</v>
      </c>
      <c r="J19" s="29"/>
      <c r="K19" s="25"/>
      <c r="L19" s="27">
        <f>('ANUAL COMERCIALES'!C6-'ANUAL COMERCIALES'!B6)/'ANUAL COMERCIALES'!B6</f>
        <v>-0.27762697113491785</v>
      </c>
      <c r="M19" s="27">
        <f>('ANUAL COMERCIALES'!D6-'ANUAL COMERCIALES'!C6)/'ANUAL COMERCIALES'!C6</f>
        <v>-4.023598481588786E-2</v>
      </c>
      <c r="N19" s="25">
        <f>('ANUAL COMERCIALES'!E6-'ANUAL COMERCIALES'!D6)/'ANUAL COMERCIALES'!D6</f>
        <v>-0.2176239103362391</v>
      </c>
    </row>
    <row r="20" spans="1:14" x14ac:dyDescent="0.25">
      <c r="A20" s="6" t="s">
        <v>2</v>
      </c>
      <c r="B20" s="27">
        <f>('MENSUAL COMERCIALES'!C16-'MENSUAL COMERCIALES'!C5)/'MENSUAL COMERCIALES'!C5</f>
        <v>-0.66729629046644634</v>
      </c>
      <c r="C20" s="27">
        <f>('MENSUAL COMERCIALES'!C27-'MENSUAL COMERCIALES'!C16)/'MENSUAL COMERCIALES'!C16</f>
        <v>-0.28165904431477684</v>
      </c>
      <c r="D20" s="27">
        <f>('MENSUAL COMERCIALES'!C38-'MENSUAL COMERCIALES'!C27)/'MENSUAL COMERCIALES'!C27</f>
        <v>-0.76201975850713499</v>
      </c>
      <c r="F20" s="6" t="s">
        <v>29</v>
      </c>
      <c r="G20" s="27">
        <f>('TRIMESTRAL COMERCIALES'!C16-'TRIMESTRAL COMERCIALES'!C5)/'TRIMESTRAL COMERCIALES'!C5</f>
        <v>-0.64241127611376792</v>
      </c>
      <c r="H20" s="25">
        <f>('TRIMESTRAL COMERCIALES'!C27-'TRIMESTRAL COMERCIALES'!C16)/'TRIMESTRAL COMERCIALES'!C16</f>
        <v>1.0727106356021678</v>
      </c>
      <c r="I20" s="25">
        <f>('TRIMESTRAL COMERCIALES'!C38-'TRIMESTRAL COMERCIALES'!C27)/'TRIMESTRAL COMERCIALES'!C27</f>
        <v>-0.24060175909260706</v>
      </c>
      <c r="J20" s="29"/>
      <c r="K20" s="25"/>
      <c r="L20" s="25"/>
      <c r="M20" s="25"/>
      <c r="N20" s="25"/>
    </row>
    <row r="21" spans="1:14" x14ac:dyDescent="0.25">
      <c r="A21" s="6" t="s">
        <v>3</v>
      </c>
      <c r="B21" s="27">
        <f>('MENSUAL COMERCIALES'!D16-'MENSUAL COMERCIALES'!D5)/'MENSUAL COMERCIALES'!D5</f>
        <v>-7.4915418076365392E-3</v>
      </c>
      <c r="C21" s="27">
        <f>('MENSUAL COMERCIALES'!D27-'MENSUAL COMERCIALES'!D16)/'MENSUAL COMERCIALES'!D16</f>
        <v>-0.88531775018261505</v>
      </c>
      <c r="D21" s="25">
        <f>('MENSUAL COMERCIALES'!D38-'MENSUAL COMERCIALES'!D27)/'MENSUAL COMERCIALES'!D27</f>
        <v>2.6204883227176219</v>
      </c>
      <c r="F21" s="6" t="s">
        <v>30</v>
      </c>
      <c r="G21" s="27">
        <f>('TRIMESTRAL COMERCIALES'!D16-'TRIMESTRAL COMERCIALES'!D5)/'TRIMESTRAL COMERCIALES'!D5</f>
        <v>-9.7094081466139459E-2</v>
      </c>
      <c r="H21" s="25">
        <f>('TRIMESTRAL COMERCIALES'!D27-'TRIMESTRAL COMERCIALES'!D16)/'TRIMESTRAL COMERCIALES'!D16</f>
        <v>5.1716947031836505E-2</v>
      </c>
      <c r="I21" s="25">
        <f>('TRIMESTRAL COMERCIALES'!D38-'TRIMESTRAL COMERCIALES'!D27)/'TRIMESTRAL COMERCIALES'!D27</f>
        <v>-0.17828816920026438</v>
      </c>
      <c r="J21" s="29"/>
      <c r="K21" s="25"/>
      <c r="L21" s="25"/>
      <c r="M21" s="25"/>
      <c r="N21" s="25"/>
    </row>
    <row r="22" spans="1:14" x14ac:dyDescent="0.25">
      <c r="A22" s="6" t="s">
        <v>4</v>
      </c>
      <c r="B22" s="27">
        <f>('MENSUAL COMERCIALES'!E16-'MENSUAL COMERCIALES'!E5)/'MENSUAL COMERCIALES'!E5</f>
        <v>-0.64777503986084939</v>
      </c>
      <c r="C22" s="25">
        <f>('MENSUAL COMERCIALES'!E27-'MENSUAL COMERCIALES'!E16)/'MENSUAL COMERCIALES'!E16</f>
        <v>2.7613168724279835</v>
      </c>
      <c r="D22" s="27">
        <f>('MENSUAL COMERCIALES'!E38-'MENSUAL COMERCIALES'!E27)/'MENSUAL COMERCIALES'!E27</f>
        <v>-0.60054704595185993</v>
      </c>
      <c r="F22" s="6" t="s">
        <v>31</v>
      </c>
      <c r="G22" s="27">
        <f>('TRIMESTRAL COMERCIALES'!E16-'TRIMESTRAL COMERCIALES'!E5)/'TRIMESTRAL COMERCIALES'!E5</f>
        <v>-0.31350954478707782</v>
      </c>
      <c r="H22" s="25">
        <f>('TRIMESTRAL COMERCIALES'!E27-'TRIMESTRAL COMERCIALES'!E16)/'TRIMESTRAL COMERCIALES'!E16</f>
        <v>6.5755595167359873E-3</v>
      </c>
      <c r="I22" s="25">
        <f>('TRIMESTRAL COMERCIALES'!E38-'TRIMESTRAL COMERCIALES'!E27)/'TRIMESTRAL COMERCIALES'!E27</f>
        <v>-0.25201684309944511</v>
      </c>
      <c r="J22" s="29"/>
      <c r="K22" s="25"/>
      <c r="L22" s="25"/>
      <c r="M22" s="25"/>
      <c r="N22" s="25"/>
    </row>
    <row r="23" spans="1:14" x14ac:dyDescent="0.25">
      <c r="A23" s="6" t="s">
        <v>5</v>
      </c>
      <c r="B23" s="27">
        <f>('MENSUAL COMERCIALES'!F16-'MENSUAL COMERCIALES'!F5)/'MENSUAL COMERCIALES'!F5</f>
        <v>-0.71878005771080478</v>
      </c>
      <c r="C23" s="25">
        <f>('MENSUAL COMERCIALES'!F27-'MENSUAL COMERCIALES'!F16)/'MENSUAL COMERCIALES'!F16</f>
        <v>0.64072965654838254</v>
      </c>
      <c r="D23" s="25">
        <f>('MENSUAL COMERCIALES'!F38-'MENSUAL COMERCIALES'!F27)/'MENSUAL COMERCIALES'!F27</f>
        <v>-0.72500651437505426</v>
      </c>
      <c r="F23" s="6"/>
      <c r="G23" s="18"/>
      <c r="H23" s="18"/>
      <c r="I23" s="18"/>
      <c r="K23" s="6"/>
      <c r="L23" s="18"/>
      <c r="M23" s="18"/>
      <c r="N23" s="18"/>
    </row>
    <row r="24" spans="1:14" x14ac:dyDescent="0.25">
      <c r="A24" s="6" t="s">
        <v>6</v>
      </c>
      <c r="B24" s="27">
        <f>('MENSUAL COMERCIALES'!G16-'MENSUAL COMERCIALES'!G5)/'MENSUAL COMERCIALES'!G5</f>
        <v>-0.39586241908871683</v>
      </c>
      <c r="C24" s="25">
        <f>('MENSUAL COMERCIALES'!G27-'MENSUAL COMERCIALES'!G16)/'MENSUAL COMERCIALES'!G16</f>
        <v>0.84747899159663864</v>
      </c>
      <c r="D24" s="25">
        <f>('MENSUAL COMERCIALES'!G38-'MENSUAL COMERCIALES'!G27)/'MENSUAL COMERCIALES'!G27</f>
        <v>0.76768251080282013</v>
      </c>
      <c r="F24" s="6"/>
      <c r="G24" s="18"/>
      <c r="H24" s="18"/>
      <c r="I24" s="18"/>
      <c r="K24" s="6"/>
      <c r="L24" s="18"/>
      <c r="M24" s="18"/>
      <c r="N24" s="18"/>
    </row>
    <row r="25" spans="1:14" x14ac:dyDescent="0.25">
      <c r="A25" s="6" t="s">
        <v>7</v>
      </c>
      <c r="B25" s="27">
        <f>('MENSUAL COMERCIALES'!H16-'MENSUAL COMERCIALES'!H5)/'MENSUAL COMERCIALES'!H5</f>
        <v>-0.82596397201131455</v>
      </c>
      <c r="C25" s="25">
        <f>('MENSUAL COMERCIALES'!H27-'MENSUAL COMERCIALES'!H16)/'MENSUAL COMERCIALES'!H16</f>
        <v>4.1372968349016253</v>
      </c>
      <c r="D25" s="25">
        <f>('MENSUAL COMERCIALES'!H38-'MENSUAL COMERCIALES'!H27)/'MENSUAL COMERCIALES'!H27</f>
        <v>-0.4727333277828657</v>
      </c>
      <c r="F25" s="6"/>
      <c r="G25" s="18"/>
      <c r="H25" s="18"/>
      <c r="I25" s="18"/>
      <c r="K25" s="6"/>
      <c r="L25" s="18"/>
      <c r="M25" s="18"/>
      <c r="N25" s="18"/>
    </row>
    <row r="26" spans="1:14" x14ac:dyDescent="0.25">
      <c r="A26" s="6" t="s">
        <v>8</v>
      </c>
      <c r="B26" s="25">
        <f>('MENSUAL COMERCIALES'!I16-'MENSUAL COMERCIALES'!I5)/'MENSUAL COMERCIALES'!I5</f>
        <v>0.25781922525107603</v>
      </c>
      <c r="C26" s="27">
        <f>('MENSUAL COMERCIALES'!I27-'MENSUAL COMERCIALES'!I16)/'MENSUAL COMERCIALES'!I16</f>
        <v>-0.40926200524694878</v>
      </c>
      <c r="D26" s="25">
        <f>('MENSUAL COMERCIALES'!I38-'MENSUAL COMERCIALES'!I27)/'MENSUAL COMERCIALES'!I27</f>
        <v>-0.14191928943811546</v>
      </c>
      <c r="F26" s="6"/>
      <c r="G26" s="18"/>
      <c r="H26" s="18"/>
      <c r="I26" s="18"/>
      <c r="K26" s="6"/>
      <c r="L26" s="18"/>
      <c r="M26" s="18"/>
      <c r="N26" s="18"/>
    </row>
    <row r="27" spans="1:14" x14ac:dyDescent="0.25">
      <c r="A27" t="s">
        <v>9</v>
      </c>
      <c r="B27" s="25">
        <f>('MENSUAL COMERCIALES'!J16-'MENSUAL COMERCIALES'!J5)/'MENSUAL COMERCIALES'!J5</f>
        <v>0.98130008904719501</v>
      </c>
      <c r="C27" s="27">
        <f>('MENSUAL COMERCIALES'!J27-'MENSUAL COMERCIALES'!J16)/'MENSUAL COMERCIALES'!J16</f>
        <v>-0.11337078651685394</v>
      </c>
      <c r="D27" s="29">
        <f>('MENSUAL COMERCIALES'!J38-Tabla6[[#This Row],[SEPTIEMBRE]])/Tabla6[[#This Row],[SEPTIEMBRE]]</f>
        <v>0.22215181852743632</v>
      </c>
      <c r="G27" s="8"/>
      <c r="H27" s="16"/>
      <c r="I27" s="28"/>
      <c r="L27" s="8"/>
      <c r="M27" s="16"/>
      <c r="N27" s="16"/>
    </row>
    <row r="28" spans="1:14" x14ac:dyDescent="0.25">
      <c r="A28" t="s">
        <v>10</v>
      </c>
      <c r="B28" s="27">
        <f>('MENSUAL COMERCIALES'!K16-'MENSUAL COMERCIALES'!K5)/'MENSUAL COMERCIALES'!K5</f>
        <v>-0.30292282430213463</v>
      </c>
      <c r="C28" s="25">
        <f>('MENSUAL COMERCIALES'!K27-'MENSUAL COMERCIALES'!K16)/'MENSUAL COMERCIALES'!K16</f>
        <v>0.52737209083199854</v>
      </c>
      <c r="D28" s="29">
        <f>('MENSUAL COMERCIALES'!K38-'MENSUAL COMERCIALES'!K27)/'MENSUAL COMERCIALES'!K27</f>
        <v>-0.23127698951264652</v>
      </c>
      <c r="G28" s="8"/>
      <c r="H28" s="16"/>
      <c r="I28" s="28"/>
      <c r="L28" s="8"/>
      <c r="M28" s="16"/>
      <c r="N28" s="16"/>
    </row>
    <row r="29" spans="1:14" x14ac:dyDescent="0.25">
      <c r="A29" t="s">
        <v>11</v>
      </c>
      <c r="B29" s="27">
        <f>('MENSUAL COMERCIALES'!L16-'MENSUAL COMERCIALES'!L5)/'MENSUAL COMERCIALES'!L5</f>
        <v>-0.42290620679618712</v>
      </c>
      <c r="C29" s="27">
        <f>('MENSUAL COMERCIALES'!L27-'MENSUAL COMERCIALES'!L16)/'MENSUAL COMERCIALES'!L16</f>
        <v>-0.53271970747698905</v>
      </c>
      <c r="D29" s="29">
        <f>('MENSUAL COMERCIALES'!L38-'MENSUAL COMERCIALES'!L27)/'MENSUAL COMERCIALES'!L27</f>
        <v>-0.19050188882892607</v>
      </c>
      <c r="G29" s="8"/>
      <c r="H29" s="16"/>
      <c r="I29" s="28"/>
      <c r="L29" s="8"/>
      <c r="M29" s="16"/>
      <c r="N29" s="16"/>
    </row>
    <row r="30" spans="1:14" x14ac:dyDescent="0.25">
      <c r="A30" t="s">
        <v>12</v>
      </c>
      <c r="B30" s="27">
        <f>('MENSUAL COMERCIALES'!M16-'MENSUAL COMERCIALES'!M5)/'MENSUAL COMERCIALES'!M5</f>
        <v>-0.14155777606968997</v>
      </c>
      <c r="C30" s="27">
        <f>('MENSUAL COMERCIALES'!M27-'MENSUAL COMERCIALES'!M16)/'MENSUAL COMERCIALES'!M16</f>
        <v>-0.17997313833756157</v>
      </c>
      <c r="D30" s="29">
        <f>('MENSUAL COMERCIALES'!M38-'MENSUAL COMERCIALES'!M27)/'MENSUAL COMERCIALES'!M27</f>
        <v>-0.35468607825295723</v>
      </c>
      <c r="G30" s="8"/>
      <c r="H30" s="16"/>
      <c r="I30" s="28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ageMargins left="0.7" right="0.7" top="0.75" bottom="0.75" header="0.3" footer="0.3"/>
  <ignoredErrors>
    <ignoredError sqref="B4:D14 B20:C30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2276-C6B5-4FF1-B8C9-034000544975}">
  <dimension ref="A1:N30"/>
  <sheetViews>
    <sheetView workbookViewId="0">
      <selection activeCell="Z21" sqref="Z21"/>
    </sheetView>
  </sheetViews>
  <sheetFormatPr baseColWidth="10" defaultColWidth="11.42578125" defaultRowHeight="15" x14ac:dyDescent="0.25"/>
  <cols>
    <col min="6" max="6" width="18.140625" customWidth="1"/>
    <col min="8" max="8" width="12.85546875" bestFit="1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7" t="s">
        <v>1</v>
      </c>
      <c r="B3" s="10">
        <f>'MENSUAL COMERCIALES'!B17-'MENSUAL COMERCIALES'!B6</f>
        <v>26678</v>
      </c>
      <c r="C3" s="10">
        <f>'MENSUAL COMERCIALES'!B28-'MENSUAL COMERCIALES'!B17</f>
        <v>-9645</v>
      </c>
      <c r="D3" s="10">
        <f>'MENSUAL COMERCIALES'!B39-'MENSUAL COMERCIALES'!B28</f>
        <v>-8219</v>
      </c>
      <c r="F3" s="7" t="s">
        <v>28</v>
      </c>
      <c r="G3" s="10">
        <f>'TRIMESTRAL COMERCIALES'!B17-'TRIMESTRAL COMERCIALES'!B6</f>
        <v>22181</v>
      </c>
      <c r="H3" s="10">
        <f>'TRIMESTRAL COMERCIALES'!B28-'TRIMESTRAL COMERCIALES'!B17</f>
        <v>-27751</v>
      </c>
      <c r="I3" s="10">
        <f>'TRIMESTRAL COMERCIALES'!B39-'TRIMESTRAL COMERCIALES'!B28</f>
        <v>-8870</v>
      </c>
      <c r="K3" s="7"/>
      <c r="L3" s="10">
        <f>'ANUAL COMERCIALES'!C7-'ANUAL COMERCIALES'!B7</f>
        <v>-842</v>
      </c>
      <c r="M3" s="10">
        <f>'ANUAL COMERCIALES'!D7-'ANUAL COMERCIALES'!C7</f>
        <v>-45380</v>
      </c>
      <c r="N3" s="10">
        <f>'ANUAL COMERCIALES'!E7-'ANUAL COMERCIALES'!D7</f>
        <v>-87913</v>
      </c>
    </row>
    <row r="4" spans="1:14" x14ac:dyDescent="0.25">
      <c r="A4" s="6" t="s">
        <v>2</v>
      </c>
      <c r="B4" s="11">
        <f>'MENSUAL COMERCIALES'!C17-'MENSUAL COMERCIALES'!C6</f>
        <v>-14621</v>
      </c>
      <c r="C4" s="11">
        <f>'MENSUAL COMERCIALES'!C28-'MENSUAL COMERCIALES'!C17</f>
        <v>-6044</v>
      </c>
      <c r="D4" s="11">
        <f>'MENSUAL COMERCIALES'!C39-'MENSUAL COMERCIALES'!C28</f>
        <v>-9088</v>
      </c>
      <c r="F4" s="6" t="s">
        <v>29</v>
      </c>
      <c r="G4" s="11">
        <f>'TRIMESTRAL COMERCIALES'!C17-'TRIMESTRAL COMERCIALES'!C6</f>
        <v>-24077</v>
      </c>
      <c r="H4" s="11">
        <f>'TRIMESTRAL COMERCIALES'!C28-'TRIMESTRAL COMERCIALES'!C17</f>
        <v>-1192</v>
      </c>
      <c r="I4" s="11">
        <f>'TRIMESTRAL COMERCIALES'!C39-'TRIMESTRAL COMERCIALES'!C28</f>
        <v>-21810</v>
      </c>
      <c r="K4" s="6"/>
      <c r="L4" s="11"/>
      <c r="M4" s="11"/>
      <c r="N4" s="11"/>
    </row>
    <row r="5" spans="1:14" x14ac:dyDescent="0.25">
      <c r="A5" s="7" t="s">
        <v>3</v>
      </c>
      <c r="B5" s="10">
        <f>'MENSUAL COMERCIALES'!D17-'MENSUAL COMERCIALES'!D6</f>
        <v>10124</v>
      </c>
      <c r="C5" s="10">
        <f>'MENSUAL COMERCIALES'!D28-'MENSUAL COMERCIALES'!D17</f>
        <v>-12062</v>
      </c>
      <c r="D5" s="10">
        <f>'MENSUAL COMERCIALES'!D39-'MENSUAL COMERCIALES'!D28</f>
        <v>8437</v>
      </c>
      <c r="F5" s="7" t="s">
        <v>30</v>
      </c>
      <c r="G5" s="10">
        <f>'TRIMESTRAL COMERCIALES'!D17-'TRIMESTRAL COMERCIALES'!D6</f>
        <v>7324</v>
      </c>
      <c r="H5" s="10">
        <f>'TRIMESTRAL COMERCIALES'!D28-'TRIMESTRAL COMERCIALES'!D17</f>
        <v>-18341</v>
      </c>
      <c r="I5" s="10">
        <f>'TRIMESTRAL COMERCIALES'!D39-'TRIMESTRAL COMERCIALES'!D28</f>
        <v>-22093</v>
      </c>
      <c r="K5" s="7"/>
      <c r="L5" s="10"/>
      <c r="M5" s="10"/>
      <c r="N5" s="10"/>
    </row>
    <row r="6" spans="1:14" x14ac:dyDescent="0.25">
      <c r="A6" s="6" t="s">
        <v>4</v>
      </c>
      <c r="B6" s="11">
        <f>'MENSUAL COMERCIALES'!E17-'MENSUAL COMERCIALES'!E6</f>
        <v>-7740</v>
      </c>
      <c r="C6" s="11">
        <f>'MENSUAL COMERCIALES'!E28-'MENSUAL COMERCIALES'!E17</f>
        <v>-5721</v>
      </c>
      <c r="D6" s="11">
        <f>'MENSUAL COMERCIALES'!E39-'MENSUAL COMERCIALES'!E28</f>
        <v>-3180</v>
      </c>
      <c r="F6" s="6" t="s">
        <v>31</v>
      </c>
      <c r="G6" s="11">
        <f>'TRIMESTRAL COMERCIALES'!E17-'TRIMESTRAL COMERCIALES'!E6</f>
        <v>-6270</v>
      </c>
      <c r="H6" s="11">
        <f>'TRIMESTRAL COMERCIALES'!E28-'TRIMESTRAL COMERCIALES'!E17</f>
        <v>1904</v>
      </c>
      <c r="I6" s="11">
        <f>'TRIMESTRAL COMERCIALES'!E39-'TRIMESTRAL COMERCIALES'!E28</f>
        <v>-35140</v>
      </c>
      <c r="K6" s="6"/>
      <c r="L6" s="11"/>
      <c r="M6" s="11"/>
      <c r="N6" s="11"/>
    </row>
    <row r="7" spans="1:14" x14ac:dyDescent="0.25">
      <c r="A7" s="7" t="s">
        <v>5</v>
      </c>
      <c r="B7" s="10">
        <f>'MENSUAL COMERCIALES'!F17-'MENSUAL COMERCIALES'!F6</f>
        <v>-1891</v>
      </c>
      <c r="C7" s="10">
        <f>'MENSUAL COMERCIALES'!F28-'MENSUAL COMERCIALES'!F17</f>
        <v>11762</v>
      </c>
      <c r="D7" s="10">
        <f>'MENSUAL COMERCIALES'!F39-'MENSUAL COMERCIALES'!F28</f>
        <v>-17268</v>
      </c>
      <c r="F7" s="7"/>
      <c r="G7" s="10"/>
      <c r="H7" s="10"/>
      <c r="I7" s="10"/>
      <c r="K7" s="7"/>
      <c r="L7" s="10"/>
      <c r="M7" s="10"/>
      <c r="N7" s="10"/>
    </row>
    <row r="8" spans="1:14" x14ac:dyDescent="0.25">
      <c r="A8" s="6" t="s">
        <v>6</v>
      </c>
      <c r="B8" s="11">
        <f>'MENSUAL COMERCIALES'!G17-'MENSUAL COMERCIALES'!G6</f>
        <v>-14446</v>
      </c>
      <c r="C8" s="11">
        <f>'MENSUAL COMERCIALES'!G28-'MENSUAL COMERCIALES'!G17</f>
        <v>-7233</v>
      </c>
      <c r="D8" s="11">
        <f>'MENSUAL COMERCIALES'!G39-'MENSUAL COMERCIALES'!G28</f>
        <v>-1362</v>
      </c>
      <c r="F8" s="6"/>
      <c r="G8" s="11"/>
      <c r="H8" s="11"/>
      <c r="I8" s="11"/>
      <c r="K8" s="6"/>
      <c r="L8" s="11"/>
      <c r="M8" s="11"/>
      <c r="N8" s="11"/>
    </row>
    <row r="9" spans="1:14" x14ac:dyDescent="0.25">
      <c r="A9" s="7" t="s">
        <v>7</v>
      </c>
      <c r="B9" s="10">
        <f>'MENSUAL COMERCIALES'!H17-'MENSUAL COMERCIALES'!H6</f>
        <v>803</v>
      </c>
      <c r="C9" s="10">
        <f>'MENSUAL COMERCIALES'!H28-'MENSUAL COMERCIALES'!H17</f>
        <v>-3524</v>
      </c>
      <c r="D9" s="10">
        <f>'MENSUAL COMERCIALES'!H39-'MENSUAL COMERCIALES'!H28</f>
        <v>-6951</v>
      </c>
      <c r="F9" s="7"/>
      <c r="G9" s="10"/>
      <c r="H9" s="10"/>
      <c r="I9" s="10"/>
      <c r="K9" s="7"/>
      <c r="L9" s="10"/>
      <c r="M9" s="10"/>
      <c r="N9" s="10"/>
    </row>
    <row r="10" spans="1:14" x14ac:dyDescent="0.25">
      <c r="A10" s="6" t="s">
        <v>8</v>
      </c>
      <c r="B10" s="11">
        <f>'MENSUAL COMERCIALES'!I18-'MENSUAL COMERCIALES'!I7</f>
        <v>-3454</v>
      </c>
      <c r="C10" s="11">
        <f>'MENSUAL COMERCIALES'!I28-'MENSUAL COMERCIALES'!I17</f>
        <v>-1201</v>
      </c>
      <c r="D10" s="11">
        <f>'MENSUAL COMERCIALES'!I39-'MENSUAL COMERCIALES'!I28</f>
        <v>-9826</v>
      </c>
      <c r="F10" s="6"/>
      <c r="G10" s="11"/>
      <c r="H10" s="11"/>
      <c r="I10" s="11"/>
      <c r="K10" s="6"/>
      <c r="L10" s="11"/>
      <c r="M10" s="11"/>
      <c r="N10" s="11"/>
    </row>
    <row r="11" spans="1:14" x14ac:dyDescent="0.25">
      <c r="A11" s="12" t="s">
        <v>9</v>
      </c>
      <c r="B11" s="10">
        <f>'MENSUAL COMERCIALES'!J18-'MENSUAL COMERCIALES'!J7</f>
        <v>-4802</v>
      </c>
      <c r="C11" s="8">
        <f>'MENSUAL COMERCIALES'!J28-'MENSUAL COMERCIALES'!J17</f>
        <v>-13616</v>
      </c>
      <c r="D11" s="8">
        <f>'MENSUAL COMERCIALES'!J39-'MENSUAL COMERCIALES'!J28</f>
        <v>-5316</v>
      </c>
      <c r="F11" s="12"/>
      <c r="G11" s="8"/>
      <c r="H11" s="8"/>
      <c r="I11" s="8"/>
      <c r="K11" s="12"/>
      <c r="L11" s="8"/>
      <c r="M11" s="8"/>
      <c r="N11" s="8"/>
    </row>
    <row r="12" spans="1:14" x14ac:dyDescent="0.25">
      <c r="A12" t="s">
        <v>10</v>
      </c>
      <c r="B12" s="11">
        <f>'MENSUAL COMERCIALES'!K18-'MENSUAL COMERCIALES'!K7</f>
        <v>-2832</v>
      </c>
      <c r="C12" s="8">
        <f>'MENSUAL COMERCIALES'!K28-'MENSUAL COMERCIALES'!K17</f>
        <v>-5985</v>
      </c>
      <c r="D12" s="8">
        <f>'MENSUAL COMERCIALES'!K39-'MENSUAL COMERCIALES'!K28</f>
        <v>-11125</v>
      </c>
      <c r="G12" s="8"/>
      <c r="H12" s="8"/>
      <c r="I12" s="8"/>
      <c r="L12" s="8"/>
      <c r="M12" s="8"/>
      <c r="N12" s="8"/>
    </row>
    <row r="13" spans="1:14" x14ac:dyDescent="0.25">
      <c r="A13" s="12" t="s">
        <v>11</v>
      </c>
      <c r="B13" s="10">
        <f>'MENSUAL COMERCIALES'!L18-'MENSUAL COMERCIALES'!L7</f>
        <v>4640</v>
      </c>
      <c r="C13" s="8">
        <f>'MENSUAL COMERCIALES'!L28-'MENSUAL COMERCIALES'!L17</f>
        <v>5935</v>
      </c>
      <c r="D13" s="8">
        <f>'MENSUAL COMERCIALES'!L39-'MENSUAL COMERCIALES'!L28</f>
        <v>-15303</v>
      </c>
      <c r="F13" s="12"/>
      <c r="G13" s="8"/>
      <c r="H13" s="8"/>
      <c r="I13" s="8"/>
      <c r="K13" s="12"/>
      <c r="L13" s="8"/>
      <c r="M13" s="8"/>
      <c r="N13" s="8"/>
    </row>
    <row r="14" spans="1:14" x14ac:dyDescent="0.25">
      <c r="A14" t="s">
        <v>12</v>
      </c>
      <c r="B14" s="11">
        <f>'MENSUAL COMERCIALES'!M18-'MENSUAL COMERCIALES'!M7</f>
        <v>4012</v>
      </c>
      <c r="C14" s="8">
        <f>'MENSUAL COMERCIALES'!M28-'MENSUAL COMERCIALES'!M17</f>
        <v>1954</v>
      </c>
      <c r="D14" s="8">
        <f>'MENSUAL COMERCIALES'!M39-'MENSUAL COMERCIALES'!M28</f>
        <v>-8712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13" t="s">
        <v>32</v>
      </c>
      <c r="B18" s="13" t="s">
        <v>25</v>
      </c>
      <c r="C18" s="13" t="s">
        <v>26</v>
      </c>
      <c r="D18" s="13" t="s">
        <v>27</v>
      </c>
      <c r="F18" s="13" t="s">
        <v>32</v>
      </c>
      <c r="G18" s="13" t="s">
        <v>25</v>
      </c>
      <c r="H18" s="13" t="s">
        <v>26</v>
      </c>
      <c r="I18" s="13" t="s">
        <v>27</v>
      </c>
      <c r="K18" s="13" t="s">
        <v>32</v>
      </c>
      <c r="L18" s="13" t="s">
        <v>25</v>
      </c>
      <c r="M18" s="13" t="s">
        <v>26</v>
      </c>
      <c r="N18" s="13" t="s">
        <v>27</v>
      </c>
    </row>
    <row r="19" spans="1:14" x14ac:dyDescent="0.25">
      <c r="A19" s="7" t="s">
        <v>1</v>
      </c>
      <c r="B19" s="24">
        <f>('MENSUAL COMERCIALES'!B17-'MENSUAL COMERCIALES'!B6)/'MENSUAL COMERCIALES'!B6</f>
        <v>7.5468175388967467</v>
      </c>
      <c r="C19" s="26">
        <f>('MENSUAL COMERCIALES'!B28-'MENSUAL COMERCIALES'!B17)/'MENSUAL COMERCIALES'!B17</f>
        <v>-0.31923344255783936</v>
      </c>
      <c r="D19" s="26">
        <f>('MENSUAL COMERCIALES'!B39-'MENSUAL COMERCIALES'!B28)/'MENSUAL COMERCIALES'!B28</f>
        <v>-0.3996013224426293</v>
      </c>
      <c r="F19" s="7" t="s">
        <v>28</v>
      </c>
      <c r="G19" s="21">
        <f>('TRIMESTRAL COMERCIALES'!B17-'TRIMESTRAL COMERCIALES'!B6)/'TRIMESTRAL COMERCIALES'!B6</f>
        <v>0.5320588164743697</v>
      </c>
      <c r="H19" s="19">
        <f>('TRIMESTRAL COMERCIALES'!B28-'TRIMESTRAL COMERCIALES'!B17)/'TRIMESTRAL COMERCIALES'!B17</f>
        <v>-0.43449193674651637</v>
      </c>
      <c r="I19" s="19">
        <f>('TRIMESTRAL COMERCIALES'!B39-'TRIMESTRAL COMERCIALES'!B28)/'TRIMESTRAL COMERCIALES'!B28</f>
        <v>-0.24557712007530663</v>
      </c>
      <c r="K19" s="6"/>
      <c r="L19" s="19">
        <f>('ANUAL COMERCIALES'!C7-'ANUAL COMERCIALES'!B7)/'ANUAL COMERCIALES'!B7</f>
        <v>-4.9739781782952609E-3</v>
      </c>
      <c r="M19" s="19">
        <f>('ANUAL COMERCIALES'!D7-'ANUAL COMERCIALES'!C7)/'ANUAL COMERCIALES'!C7</f>
        <v>-0.26941504045975101</v>
      </c>
      <c r="N19" s="21">
        <f>('ANUAL COMERCIALES'!E7-'ANUAL COMERCIALES'!D7)/'ANUAL COMERCIALES'!D7</f>
        <v>-0.71439715908629198</v>
      </c>
    </row>
    <row r="20" spans="1:14" x14ac:dyDescent="0.25">
      <c r="A20" s="6" t="s">
        <v>2</v>
      </c>
      <c r="B20" s="27">
        <f>('MENSUAL COMERCIALES'!C17-'MENSUAL COMERCIALES'!C6)/'MENSUAL COMERCIALES'!C6</f>
        <v>-0.45015394088669952</v>
      </c>
      <c r="C20" s="27">
        <f>('MENSUAL COMERCIALES'!C28-'MENSUAL COMERCIALES'!C17)/'MENSUAL COMERCIALES'!C17</f>
        <v>-0.33842880340444592</v>
      </c>
      <c r="D20" s="27">
        <f>('MENSUAL COMERCIALES'!C39-'MENSUAL COMERCIALES'!C28)/'MENSUAL COMERCIALES'!C28</f>
        <v>-0.76919170545916205</v>
      </c>
      <c r="F20" s="6" t="s">
        <v>29</v>
      </c>
      <c r="G20" s="19">
        <f>('TRIMESTRAL COMERCIALES'!C17-'TRIMESTRAL COMERCIALES'!C6)/'TRIMESTRAL COMERCIALES'!C6</f>
        <v>-0.43795474388824213</v>
      </c>
      <c r="H20" s="19">
        <f>('TRIMESTRAL COMERCIALES'!C28-'TRIMESTRAL COMERCIALES'!C17)/'TRIMESTRAL COMERCIALES'!C17</f>
        <v>-3.8577300236253602E-2</v>
      </c>
      <c r="I20" s="21">
        <f>('TRIMESTRAL COMERCIALES'!C39-'TRIMESTRAL COMERCIALES'!C28)/'TRIMESTRAL COMERCIALES'!C28</f>
        <v>-0.73417039754939917</v>
      </c>
      <c r="K20" s="6"/>
      <c r="L20" s="18"/>
      <c r="M20" s="18"/>
      <c r="N20" s="18"/>
    </row>
    <row r="21" spans="1:14" x14ac:dyDescent="0.25">
      <c r="A21" s="7" t="s">
        <v>3</v>
      </c>
      <c r="B21" s="24">
        <f>('MENSUAL COMERCIALES'!D17-'MENSUAL COMERCIALES'!D6)/'MENSUAL COMERCIALES'!D6</f>
        <v>1.7842791681353543</v>
      </c>
      <c r="C21" s="26">
        <f>('MENSUAL COMERCIALES'!D28-'MENSUAL COMERCIALES'!D17)/'MENSUAL COMERCIALES'!D17</f>
        <v>-0.76351436890745661</v>
      </c>
      <c r="D21" s="24">
        <f>('MENSUAL COMERCIALES'!D39-'MENSUAL COMERCIALES'!D28)/'MENSUAL COMERCIALES'!D28</f>
        <v>2.2582976445396143</v>
      </c>
      <c r="F21" s="7" t="s">
        <v>30</v>
      </c>
      <c r="G21" s="21">
        <f>('TRIMESTRAL COMERCIALES'!D17-'TRIMESTRAL COMERCIALES'!D6)/'TRIMESTRAL COMERCIALES'!D6</f>
        <v>0.22120205376019331</v>
      </c>
      <c r="H21" s="19">
        <f>('TRIMESTRAL COMERCIALES'!D28-'TRIMESTRAL COMERCIALES'!D17)/'TRIMESTRAL COMERCIALES'!D17</f>
        <v>-0.45360340307661867</v>
      </c>
      <c r="I21" s="21">
        <f>('TRIMESTRAL COMERCIALES'!D39-'TRIMESTRAL COMERCIALES'!D28)/'TRIMESTRAL COMERCIALES'!D28</f>
        <v>-1</v>
      </c>
      <c r="K21" s="6"/>
      <c r="L21" s="18"/>
      <c r="M21" s="18"/>
      <c r="N21" s="18"/>
    </row>
    <row r="22" spans="1:14" x14ac:dyDescent="0.25">
      <c r="A22" s="6" t="s">
        <v>4</v>
      </c>
      <c r="B22" s="27">
        <f>('MENSUAL COMERCIALES'!E17-'MENSUAL COMERCIALES'!E6)/'MENSUAL COMERCIALES'!E6</f>
        <v>-0.34846029173419774</v>
      </c>
      <c r="C22" s="27">
        <f>('MENSUAL COMERCIALES'!E28-'MENSUAL COMERCIALES'!E17)/'MENSUAL COMERCIALES'!E17</f>
        <v>-0.39531509121061359</v>
      </c>
      <c r="D22" s="27">
        <f>('MENSUAL COMERCIALES'!E39-'MENSUAL COMERCIALES'!E28)/'MENSUAL COMERCIALES'!E28</f>
        <v>-0.36338704148097362</v>
      </c>
      <c r="F22" s="6" t="s">
        <v>31</v>
      </c>
      <c r="G22" s="19">
        <f>('TRIMESTRAL COMERCIALES'!E17-'TRIMESTRAL COMERCIALES'!E6)/'TRIMESTRAL COMERCIALES'!E6</f>
        <v>-0.15871006935655343</v>
      </c>
      <c r="H22" s="21">
        <f>('TRIMESTRAL COMERCIALES'!E28-'TRIMESTRAL COMERCIALES'!E17)/'TRIMESTRAL COMERCIALES'!E17</f>
        <v>5.7287278854254421E-2</v>
      </c>
      <c r="I22" s="15">
        <f>('TRIMESTRAL COMERCIALES'!E39-'TRIMESTRAL COMERCIALES'!E28)/'TRIMESTRAL COMERCIALES'!E28</f>
        <v>-1</v>
      </c>
      <c r="K22" s="6"/>
      <c r="L22" s="11"/>
      <c r="M22" s="11"/>
      <c r="N22" s="11"/>
    </row>
    <row r="23" spans="1:14" x14ac:dyDescent="0.25">
      <c r="A23" s="7" t="s">
        <v>5</v>
      </c>
      <c r="B23" s="26">
        <f>('MENSUAL COMERCIALES'!F17-'MENSUAL COMERCIALES'!F6)/'MENSUAL COMERCIALES'!F6</f>
        <v>-0.19448729815900442</v>
      </c>
      <c r="C23" s="24">
        <f>('MENSUAL COMERCIALES'!F28-'MENSUAL COMERCIALES'!F17)/'MENSUAL COMERCIALES'!F17</f>
        <v>1.5017875383043922</v>
      </c>
      <c r="D23" s="24">
        <f>('MENSUAL COMERCIALES'!F39-'MENSUAL COMERCIALES'!F28)/'MENSUAL COMERCIALES'!F28</f>
        <v>-0.88129019087475757</v>
      </c>
      <c r="F23" s="7"/>
      <c r="G23" s="10"/>
      <c r="H23" s="10"/>
      <c r="I23" s="10"/>
      <c r="K23" s="7"/>
      <c r="L23" s="10"/>
      <c r="M23" s="10"/>
      <c r="N23" s="10"/>
    </row>
    <row r="24" spans="1:14" x14ac:dyDescent="0.25">
      <c r="A24" s="6" t="s">
        <v>6</v>
      </c>
      <c r="B24" s="27">
        <f>('MENSUAL COMERCIALES'!G17-'MENSUAL COMERCIALES'!G6)/'MENSUAL COMERCIALES'!G6</f>
        <v>-0.6269693155679007</v>
      </c>
      <c r="C24" s="27">
        <f>('MENSUAL COMERCIALES'!G28-'MENSUAL COMERCIALES'!G17)/'MENSUAL COMERCIALES'!G17</f>
        <v>-0.84153577661431067</v>
      </c>
      <c r="D24" s="22">
        <f>('MENSUAL COMERCIALES'!G39-'MENSUAL COMERCIALES'!G28)/'MENSUAL COMERCIALES'!G28</f>
        <v>-1</v>
      </c>
      <c r="F24" s="6"/>
      <c r="G24" s="11"/>
      <c r="H24" s="11"/>
      <c r="I24" s="11"/>
      <c r="K24" s="6"/>
      <c r="L24" s="11"/>
      <c r="M24" s="11"/>
      <c r="N24" s="11"/>
    </row>
    <row r="25" spans="1:14" x14ac:dyDescent="0.25">
      <c r="A25" s="7" t="s">
        <v>7</v>
      </c>
      <c r="B25" s="24">
        <f>('MENSUAL COMERCIALES'!H17-'MENSUAL COMERCIALES'!H6)/'MENSUAL COMERCIALES'!H6</f>
        <v>8.3023159636062868E-2</v>
      </c>
      <c r="C25" s="26">
        <f>('MENSUAL COMERCIALES'!H28-'MENSUAL COMERCIALES'!H17)/'MENSUAL COMERCIALES'!H17</f>
        <v>-0.3364200477326969</v>
      </c>
      <c r="D25" s="24">
        <f>('MENSUAL COMERCIALES'!H39-'MENSUAL COMERCIALES'!H28)/'MENSUAL COMERCIALES'!H28</f>
        <v>-1</v>
      </c>
      <c r="F25" s="7"/>
      <c r="G25" s="10"/>
      <c r="H25" s="10"/>
      <c r="I25" s="10"/>
      <c r="K25" s="7"/>
      <c r="L25" s="10"/>
      <c r="M25" s="10"/>
      <c r="N25" s="10"/>
    </row>
    <row r="26" spans="1:14" x14ac:dyDescent="0.25">
      <c r="A26" s="6" t="s">
        <v>8</v>
      </c>
      <c r="B26" s="22">
        <f>('MENSUAL COMERCIALES'!I17-'MENSUAL COMERCIALES'!I6)/'MENSUAL COMERCIALES'!I6</f>
        <v>1.4707595787586825</v>
      </c>
      <c r="C26" s="27">
        <f>('MENSUAL COMERCIALES'!I28-'MENSUAL COMERCIALES'!I17)/'MENSUAL COMERCIALES'!I17</f>
        <v>-0.10891448263353587</v>
      </c>
      <c r="D26" s="22">
        <f>('MENSUAL COMERCIALES'!I39-'MENSUAL COMERCIALES'!I28)/'MENSUAL COMERCIALES'!I28</f>
        <v>-1</v>
      </c>
      <c r="F26" s="6"/>
      <c r="G26" s="11"/>
      <c r="H26" s="11"/>
      <c r="I26" s="11"/>
      <c r="K26" s="6"/>
      <c r="L26" s="11"/>
      <c r="M26" s="11"/>
      <c r="N26" s="11"/>
    </row>
    <row r="27" spans="1:14" x14ac:dyDescent="0.25">
      <c r="A27" s="12" t="s">
        <v>9</v>
      </c>
      <c r="B27" s="30">
        <f>('MENSUAL COMERCIALES'!J17-'MENSUAL COMERCIALES'!J6)/'MENSUAL COMERCIALES'!J6</f>
        <v>-2.2661396574440054E-3</v>
      </c>
      <c r="C27" s="30">
        <f>('MENSUAL COMERCIALES'!J28-'MENSUAL COMERCIALES'!J17)/'MENSUAL COMERCIALES'!J17</f>
        <v>-0.71920557785759565</v>
      </c>
      <c r="D27" s="23">
        <f>('MENSUAL COMERCIALES'!J39-'MENSUAL COMERCIALES'!J28)/'MENSUAL COMERCIALES'!J28</f>
        <v>-1</v>
      </c>
      <c r="F27" s="12"/>
      <c r="G27" s="8"/>
      <c r="H27" s="16"/>
      <c r="I27" s="16"/>
      <c r="K27" s="12"/>
      <c r="L27" s="8"/>
      <c r="M27" s="16"/>
      <c r="N27" s="16"/>
    </row>
    <row r="28" spans="1:14" x14ac:dyDescent="0.25">
      <c r="A28" t="s">
        <v>10</v>
      </c>
      <c r="B28" s="30">
        <f>('MENSUAL COMERCIALES'!K17-'MENSUAL COMERCIALES'!K6)/'MENSUAL COMERCIALES'!K6</f>
        <v>-0.27453890184439261</v>
      </c>
      <c r="C28" s="30">
        <f>('MENSUAL COMERCIALES'!K28-'MENSUAL COMERCIALES'!K17)/'MENSUAL COMERCIALES'!K17</f>
        <v>-0.34979544126241963</v>
      </c>
      <c r="D28" s="23">
        <f>('MENSUAL COMERCIALES'!K39-'MENSUAL COMERCIALES'!K28)/'MENSUAL COMERCIALES'!K28</f>
        <v>-1</v>
      </c>
      <c r="G28" s="8"/>
      <c r="H28" s="16"/>
      <c r="I28" s="16"/>
      <c r="L28" s="8"/>
      <c r="M28" s="16"/>
      <c r="N28" s="16"/>
    </row>
    <row r="29" spans="1:14" x14ac:dyDescent="0.25">
      <c r="A29" s="12" t="s">
        <v>11</v>
      </c>
      <c r="B29" s="30">
        <f>('MENSUAL COMERCIALES'!L17-'MENSUAL COMERCIALES'!L6)/'MENSUAL COMERCIALES'!L6</f>
        <v>-0.33925800536041756</v>
      </c>
      <c r="C29" s="23">
        <f>('MENSUAL COMERCIALES'!L28-'MENSUAL COMERCIALES'!L17)/'MENSUAL COMERCIALES'!L17</f>
        <v>0.63353970964987194</v>
      </c>
      <c r="D29" s="23">
        <f>('MENSUAL COMERCIALES'!L39-'MENSUAL COMERCIALES'!L28)/'MENSUAL COMERCIALES'!L28</f>
        <v>-1</v>
      </c>
      <c r="F29" s="12"/>
      <c r="G29" s="8"/>
      <c r="H29" s="16"/>
      <c r="I29" s="16"/>
      <c r="K29" s="12"/>
      <c r="L29" s="8"/>
      <c r="M29" s="16"/>
      <c r="N29" s="16"/>
    </row>
    <row r="30" spans="1:14" x14ac:dyDescent="0.25">
      <c r="A30" t="s">
        <v>12</v>
      </c>
      <c r="B30" s="33">
        <f>('MENSUAL COMERCIALES'!M17-'MENSUAL COMERCIALES'!M6)/'MENSUAL COMERCIALES'!M6</f>
        <v>2.8772231784279976</v>
      </c>
      <c r="C30" s="23">
        <f>('MENSUAL COMERCIALES'!M28-'MENSUAL COMERCIALES'!M17)/'MENSUAL COMERCIALES'!M17</f>
        <v>0.28913879846108315</v>
      </c>
      <c r="D30" s="23">
        <f>('MENSUAL COMERCIALES'!M39-'MENSUAL COMERCIALES'!M28)/'MENSUAL COMERCIALES'!M28</f>
        <v>-1</v>
      </c>
      <c r="G30" s="8"/>
      <c r="H30" s="16"/>
      <c r="I30" s="16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ageMargins left="0.7" right="0.7" top="0.75" bottom="0.75" header="0.3" footer="0.3"/>
  <ignoredErrors>
    <ignoredError sqref="B20:D30 G20:I22 L19:N19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8DE0-CCF1-4B73-90F9-23A85357E360}">
  <dimension ref="A1:N30"/>
  <sheetViews>
    <sheetView workbookViewId="0">
      <selection activeCell="AA26" sqref="AA26"/>
    </sheetView>
  </sheetViews>
  <sheetFormatPr baseColWidth="10" defaultColWidth="11.42578125" defaultRowHeight="15" x14ac:dyDescent="0.25"/>
  <cols>
    <col min="6" max="6" width="18" customWidth="1"/>
    <col min="11" max="11" width="19.140625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6" t="s">
        <v>1</v>
      </c>
      <c r="B3" s="18">
        <f>'MENSUAL COMERCIALES'!B18-'MENSUAL COMERCIALES'!B7</f>
        <v>-1142</v>
      </c>
      <c r="C3" s="18">
        <f>'MENSUAL COMERCIALES'!B29-'MENSUAL COMERCIALES'!B18</f>
        <v>-835</v>
      </c>
      <c r="D3" s="18">
        <f>'MENSUAL COMERCIALES'!B40-'MENSUAL COMERCIALES'!B29</f>
        <v>-3013</v>
      </c>
      <c r="F3" s="6" t="s">
        <v>28</v>
      </c>
      <c r="G3" s="18">
        <f>'TRIMESTRAL COMERCIALES'!B18-'TRIMESTRAL COMERCIALES'!B7</f>
        <v>-8551</v>
      </c>
      <c r="H3" s="18">
        <f>'TRIMESTRAL COMERCIALES'!B29-'TRIMESTRAL COMERCIALES'!B18</f>
        <v>-7084</v>
      </c>
      <c r="I3" s="18">
        <f>'TRIMESTRAL COMERCIALES'!B40-'TRIMESTRAL COMERCIALES'!B29</f>
        <v>2302</v>
      </c>
      <c r="K3" s="6"/>
      <c r="L3" s="18">
        <f>'ANUAL COMERCIALES'!C8-'ANUAL COMERCIALES'!B8</f>
        <v>-23412</v>
      </c>
      <c r="M3" s="18">
        <f>'ANUAL COMERCIALES'!D8-'ANUAL COMERCIALES'!C8</f>
        <v>-344</v>
      </c>
      <c r="N3" s="18">
        <f>'ANUAL COMERCIALES'!E8-'ANUAL COMERCIALES'!D8</f>
        <v>-8281</v>
      </c>
    </row>
    <row r="4" spans="1:14" x14ac:dyDescent="0.25">
      <c r="A4" s="6" t="s">
        <v>2</v>
      </c>
      <c r="B4" s="18">
        <f>'MENSUAL COMERCIALES'!C18-'MENSUAL COMERCIALES'!C7</f>
        <v>-8474</v>
      </c>
      <c r="C4" s="18">
        <f>'MENSUAL COMERCIALES'!C29-'MENSUAL COMERCIALES'!C18</f>
        <v>-2441</v>
      </c>
      <c r="D4" s="18">
        <f>'MENSUAL COMERCIALES'!C40-'MENSUAL COMERCIALES'!C29</f>
        <v>379</v>
      </c>
      <c r="F4" s="6" t="s">
        <v>29</v>
      </c>
      <c r="G4" s="18">
        <f>'TRIMESTRAL COMERCIALES'!C18-'TRIMESTRAL COMERCIALES'!C7</f>
        <v>-17505</v>
      </c>
      <c r="H4" s="18">
        <f>'TRIMESTRAL COMERCIALES'!C29-'TRIMESTRAL COMERCIALES'!C18</f>
        <v>9414</v>
      </c>
      <c r="I4" s="18">
        <f>'TRIMESTRAL COMERCIALES'!C40-'TRIMESTRAL COMERCIALES'!C29</f>
        <v>-6887</v>
      </c>
      <c r="K4" s="6"/>
      <c r="L4" s="18"/>
      <c r="M4" s="18"/>
      <c r="N4" s="18"/>
    </row>
    <row r="5" spans="1:14" x14ac:dyDescent="0.25">
      <c r="A5" s="6" t="s">
        <v>3</v>
      </c>
      <c r="B5" s="18">
        <f>'MENSUAL COMERCIALES'!D18-'MENSUAL COMERCIALES'!D7</f>
        <v>1065</v>
      </c>
      <c r="C5" s="18">
        <f>'MENSUAL COMERCIALES'!D29-'MENSUAL COMERCIALES'!D18</f>
        <v>-3808</v>
      </c>
      <c r="D5" s="18">
        <f>'MENSUAL COMERCIALES'!D40-'MENSUAL COMERCIALES'!D29</f>
        <v>4936</v>
      </c>
      <c r="F5" s="6" t="s">
        <v>30</v>
      </c>
      <c r="G5" s="18">
        <f>'TRIMESTRAL COMERCIALES'!D18-'TRIMESTRAL COMERCIALES'!D7</f>
        <v>-3176</v>
      </c>
      <c r="H5" s="18">
        <f>'TRIMESTRAL COMERCIALES'!D29-'TRIMESTRAL COMERCIALES'!D18</f>
        <v>-3850</v>
      </c>
      <c r="I5" s="18">
        <f>'TRIMESTRAL COMERCIALES'!D40-'TRIMESTRAL COMERCIALES'!D29</f>
        <v>3448</v>
      </c>
      <c r="K5" s="6"/>
      <c r="L5" s="18"/>
      <c r="M5" s="18"/>
      <c r="N5" s="18"/>
    </row>
    <row r="6" spans="1:14" x14ac:dyDescent="0.25">
      <c r="A6" s="6" t="s">
        <v>4</v>
      </c>
      <c r="B6" s="18">
        <f>'MENSUAL COMERCIALES'!E18-'MENSUAL COMERCIALES'!E7</f>
        <v>-8490</v>
      </c>
      <c r="C6" s="18">
        <f>'MENSUAL COMERCIALES'!E29-'MENSUAL COMERCIALES'!E18</f>
        <v>4648</v>
      </c>
      <c r="D6" s="18">
        <f>'MENSUAL COMERCIALES'!E40-'MENSUAL COMERCIALES'!E29</f>
        <v>-1777</v>
      </c>
      <c r="F6" s="6" t="s">
        <v>31</v>
      </c>
      <c r="G6" s="18">
        <f>'TRIMESTRAL COMERCIALES'!E18-'TRIMESTRAL COMERCIALES'!E7</f>
        <v>5820</v>
      </c>
      <c r="H6" s="18">
        <f>'TRIMESTRAL COMERCIALES'!E29-'TRIMESTRAL COMERCIALES'!E18</f>
        <v>1176</v>
      </c>
      <c r="I6" s="18">
        <f>'TRIMESTRAL COMERCIALES'!E40-'TRIMESTRAL COMERCIALES'!E29</f>
        <v>-7144</v>
      </c>
      <c r="K6" s="6"/>
      <c r="L6" s="18"/>
      <c r="M6" s="18"/>
      <c r="N6" s="18"/>
    </row>
    <row r="7" spans="1:14" x14ac:dyDescent="0.25">
      <c r="A7" s="6" t="s">
        <v>5</v>
      </c>
      <c r="B7" s="18">
        <f>'MENSUAL COMERCIALES'!F18-'MENSUAL COMERCIALES'!F7</f>
        <v>-5156</v>
      </c>
      <c r="C7" s="18">
        <f>'MENSUAL COMERCIALES'!F29-'MENSUAL COMERCIALES'!F18</f>
        <v>4130</v>
      </c>
      <c r="D7" s="18">
        <f>'MENSUAL COMERCIALES'!F40-'MENSUAL COMERCIALES'!F29</f>
        <v>-5625</v>
      </c>
      <c r="F7" s="6"/>
      <c r="G7" s="18"/>
      <c r="H7" s="18"/>
      <c r="I7" s="18"/>
      <c r="K7" s="6"/>
      <c r="L7" s="18"/>
      <c r="M7" s="18"/>
      <c r="N7" s="18"/>
    </row>
    <row r="8" spans="1:14" x14ac:dyDescent="0.25">
      <c r="A8" s="6" t="s">
        <v>6</v>
      </c>
      <c r="B8" s="18">
        <f>'MENSUAL COMERCIALES'!G18-'MENSUAL COMERCIALES'!G7</f>
        <v>-3859</v>
      </c>
      <c r="C8" s="18">
        <f>'MENSUAL COMERCIALES'!G29-'MENSUAL COMERCIALES'!G18</f>
        <v>636</v>
      </c>
      <c r="D8" s="18">
        <f>'MENSUAL COMERCIALES'!G40-'MENSUAL COMERCIALES'!G29</f>
        <v>515</v>
      </c>
      <c r="F8" s="6"/>
      <c r="G8" s="18"/>
      <c r="H8" s="18"/>
      <c r="I8" s="18"/>
      <c r="K8" s="6"/>
      <c r="L8" s="18"/>
      <c r="M8" s="18"/>
      <c r="N8" s="18"/>
    </row>
    <row r="9" spans="1:14" x14ac:dyDescent="0.25">
      <c r="A9" s="6" t="s">
        <v>7</v>
      </c>
      <c r="B9" s="18">
        <f>'MENSUAL COMERCIALES'!H18-'MENSUAL COMERCIALES'!H7</f>
        <v>5080</v>
      </c>
      <c r="C9" s="18">
        <f>'MENSUAL COMERCIALES'!H29-'MENSUAL COMERCIALES'!H18</f>
        <v>-4495</v>
      </c>
      <c r="D9" s="18">
        <f>'MENSUAL COMERCIALES'!H40-'MENSUAL COMERCIALES'!H29</f>
        <v>2648</v>
      </c>
      <c r="F9" s="6"/>
      <c r="G9" s="18"/>
      <c r="H9" s="18"/>
      <c r="I9" s="18"/>
      <c r="K9" s="6"/>
      <c r="L9" s="18"/>
      <c r="M9" s="18"/>
      <c r="N9" s="18"/>
    </row>
    <row r="10" spans="1:14" x14ac:dyDescent="0.25">
      <c r="A10" s="6" t="s">
        <v>8</v>
      </c>
      <c r="B10" s="18">
        <f>'MENSUAL COMERCIALES'!I18-'MENSUAL COMERCIALES'!I7</f>
        <v>-3454</v>
      </c>
      <c r="C10" s="18">
        <f>'MENSUAL COMERCIALES'!I29-'MENSUAL COMERCIALES'!I18</f>
        <v>771</v>
      </c>
      <c r="D10" s="18">
        <f>'MENSUAL COMERCIALES'!I40-'MENSUAL COMERCIALES'!I29</f>
        <v>-1116</v>
      </c>
      <c r="F10" s="6"/>
      <c r="G10" s="18"/>
      <c r="H10" s="18"/>
      <c r="I10" s="18"/>
      <c r="K10" s="6"/>
      <c r="L10" s="18"/>
      <c r="M10" s="18"/>
      <c r="N10" s="18"/>
    </row>
    <row r="11" spans="1:14" x14ac:dyDescent="0.25">
      <c r="A11" t="s">
        <v>9</v>
      </c>
      <c r="B11" s="8">
        <f>'MENSUAL COMERCIALES'!J18-'MENSUAL COMERCIALES'!J7</f>
        <v>-4802</v>
      </c>
      <c r="C11" s="8">
        <f>'MENSUAL COMERCIALES'!J29-'MENSUAL COMERCIALES'!J18</f>
        <v>-126</v>
      </c>
      <c r="D11" s="8">
        <f>'MENSUAL COMERCIALES'!J40-'MENSUAL COMERCIALES'!J29</f>
        <v>1916</v>
      </c>
      <c r="G11" s="8"/>
      <c r="H11" s="8"/>
      <c r="I11" s="8"/>
      <c r="L11" s="8"/>
      <c r="M11" s="8"/>
      <c r="N11" s="8"/>
    </row>
    <row r="12" spans="1:14" x14ac:dyDescent="0.25">
      <c r="A12" t="s">
        <v>10</v>
      </c>
      <c r="B12" s="8">
        <f>'MENSUAL COMERCIALES'!K18-'MENSUAL COMERCIALES'!K7</f>
        <v>-2832</v>
      </c>
      <c r="C12" s="8">
        <f>'MENSUAL COMERCIALES'!K29-'MENSUAL COMERCIALES'!K18</f>
        <v>3998</v>
      </c>
      <c r="D12" s="8">
        <f>'MENSUAL COMERCIALES'!K40-'MENSUAL COMERCIALES'!K29</f>
        <v>-1718</v>
      </c>
      <c r="G12" s="8"/>
      <c r="H12" s="8"/>
      <c r="I12" s="8"/>
      <c r="L12" s="8"/>
      <c r="M12" s="8"/>
      <c r="N12" s="8"/>
    </row>
    <row r="13" spans="1:14" x14ac:dyDescent="0.25">
      <c r="A13" t="s">
        <v>11</v>
      </c>
      <c r="B13" s="8">
        <f>'MENSUAL COMERCIALES'!L18-'MENSUAL COMERCIALES'!L7</f>
        <v>4640</v>
      </c>
      <c r="C13" s="8">
        <f>'MENSUAL COMERCIALES'!L29-'MENSUAL COMERCIALES'!L18</f>
        <v>-5047</v>
      </c>
      <c r="D13" s="8">
        <f>'MENSUAL COMERCIALES'!L40-'MENSUAL COMERCIALES'!L29</f>
        <v>-941</v>
      </c>
      <c r="G13" s="8"/>
      <c r="H13" s="8"/>
      <c r="I13" s="8"/>
      <c r="L13" s="8"/>
      <c r="M13" s="8"/>
      <c r="N13" s="8"/>
    </row>
    <row r="14" spans="1:14" x14ac:dyDescent="0.25">
      <c r="A14" t="s">
        <v>12</v>
      </c>
      <c r="B14" s="8">
        <f>'MENSUAL COMERCIALES'!M18-'MENSUAL COMERCIALES'!M7</f>
        <v>4012</v>
      </c>
      <c r="C14" s="8">
        <f>'MENSUAL COMERCIALES'!M29-'MENSUAL COMERCIALES'!M18</f>
        <v>2225</v>
      </c>
      <c r="D14" s="8">
        <f>'MENSUAL COMERCIALES'!M40-'MENSUAL COMERCIALES'!M29</f>
        <v>-4485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31" t="s">
        <v>32</v>
      </c>
      <c r="B18" s="31" t="s">
        <v>25</v>
      </c>
      <c r="C18" s="31" t="s">
        <v>26</v>
      </c>
      <c r="D18" s="31" t="s">
        <v>27</v>
      </c>
      <c r="F18" s="31" t="s">
        <v>32</v>
      </c>
      <c r="G18" s="31" t="s">
        <v>25</v>
      </c>
      <c r="H18" s="31" t="s">
        <v>26</v>
      </c>
      <c r="I18" s="31" t="s">
        <v>27</v>
      </c>
      <c r="K18" s="31" t="s">
        <v>32</v>
      </c>
      <c r="L18" s="31" t="s">
        <v>25</v>
      </c>
      <c r="M18" s="31" t="s">
        <v>26</v>
      </c>
      <c r="N18" s="31" t="s">
        <v>27</v>
      </c>
    </row>
    <row r="19" spans="1:14" x14ac:dyDescent="0.25">
      <c r="A19" s="6" t="s">
        <v>1</v>
      </c>
      <c r="B19" s="27">
        <f>('MENSUAL COMERCIALES'!B18-'MENSUAL COMERCIALES'!B7)/'MENSUAL COMERCIALES'!B7</f>
        <v>-0.14158194892139847</v>
      </c>
      <c r="C19" s="27">
        <f>('MENSUAL COMERCIALES'!B29-'MENSUAL COMERCIALES'!B18)/'MENSUAL COMERCIALES'!B18</f>
        <v>-0.12059503177354131</v>
      </c>
      <c r="D19" s="27">
        <f>('MENSUAL COMERCIALES'!B40-'MENSUAL COMERCIALES'!B29)/'MENSUAL COMERCIALES'!B29</f>
        <v>-0.49482673673838068</v>
      </c>
      <c r="F19" s="6" t="s">
        <v>28</v>
      </c>
      <c r="G19" s="19">
        <f>('TRIMESTRAL COMERCIALES'!B18-'TRIMESTRAL COMERCIALES'!B7)/'TRIMESTRAL COMERCIALES'!B7</f>
        <v>-0.29047489639241797</v>
      </c>
      <c r="H19" s="19">
        <f>('TRIMESTRAL COMERCIALES'!B29-'TRIMESTRAL COMERCIALES'!B18)/'TRIMESTRAL COMERCIALES'!B18</f>
        <v>-0.33915832814669411</v>
      </c>
      <c r="I19" s="21">
        <f>('TRIMESTRAL COMERCIALES'!B40-'TRIMESTRAL COMERCIALES'!B29)/'TRIMESTRAL COMERCIALES'!B29</f>
        <v>0.16677533869448671</v>
      </c>
      <c r="K19" s="6"/>
      <c r="L19" s="19">
        <f>('ANUAL COMERCIALES'!C8-'ANUAL COMERCIALES'!B8)/'ANUAL COMERCIALES'!B8</f>
        <v>-0.29321811008829607</v>
      </c>
      <c r="M19" s="19">
        <f>('ANUAL COMERCIALES'!D8-'ANUAL COMERCIALES'!C8)/'ANUAL COMERCIALES'!C8</f>
        <v>-6.095724133042723E-3</v>
      </c>
      <c r="N19" s="21">
        <f>('ANUAL COMERCIALES'!E8-'ANUAL COMERCIALES'!D8)/'ANUAL COMERCIALES'!D8</f>
        <v>-0.14764035728930808</v>
      </c>
    </row>
    <row r="20" spans="1:14" x14ac:dyDescent="0.25">
      <c r="A20" s="6" t="s">
        <v>2</v>
      </c>
      <c r="B20" s="27">
        <f>('MENSUAL COMERCIALES'!C18-'MENSUAL COMERCIALES'!C7)/'MENSUAL COMERCIALES'!C7</f>
        <v>-0.60924581206413109</v>
      </c>
      <c r="C20" s="27">
        <f>('MENSUAL COMERCIALES'!C29-'MENSUAL COMERCIALES'!C18)/'MENSUAL COMERCIALES'!C18</f>
        <v>-0.44912603495860165</v>
      </c>
      <c r="D20" s="25">
        <f>('MENSUAL COMERCIALES'!C40-'MENSUAL COMERCIALES'!C29)/'MENSUAL COMERCIALES'!C29</f>
        <v>0.12658650634602539</v>
      </c>
      <c r="F20" s="6" t="s">
        <v>29</v>
      </c>
      <c r="G20" s="19">
        <f>('TRIMESTRAL COMERCIALES'!C18-'TRIMESTRAL COMERCIALES'!C7)/'TRIMESTRAL COMERCIALES'!C7</f>
        <v>-0.66609589041095896</v>
      </c>
      <c r="H20" s="21">
        <f>('TRIMESTRAL COMERCIALES'!C29-'TRIMESTRAL COMERCIALES'!C18)/'TRIMESTRAL COMERCIALES'!C18</f>
        <v>1.0728205128205128</v>
      </c>
      <c r="I20" s="21">
        <f>('TRIMESTRAL COMERCIALES'!C40-'TRIMESTRAL COMERCIALES'!C29)/'TRIMESTRAL COMERCIALES'!C29</f>
        <v>-0.37863543900159435</v>
      </c>
      <c r="K20" s="6"/>
      <c r="L20" s="18"/>
      <c r="M20" s="18"/>
      <c r="N20" s="18"/>
    </row>
    <row r="21" spans="1:14" x14ac:dyDescent="0.25">
      <c r="A21" s="6" t="s">
        <v>3</v>
      </c>
      <c r="B21" s="25">
        <f>('MENSUAL COMERCIALES'!D18-'MENSUAL COMERCIALES'!D7)/'MENSUAL COMERCIALES'!D7</f>
        <v>0.14270400643172987</v>
      </c>
      <c r="C21" s="27">
        <f>('MENSUAL COMERCIALES'!D29-'MENSUAL COMERCIALES'!D18)/'MENSUAL COMERCIALES'!D18</f>
        <v>-0.44652908067542213</v>
      </c>
      <c r="D21" s="25">
        <f>('MENSUAL COMERCIALES'!D40-'MENSUAL COMERCIALES'!D29)/'MENSUAL COMERCIALES'!D29</f>
        <v>1.0457627118644068</v>
      </c>
      <c r="F21" s="6" t="s">
        <v>30</v>
      </c>
      <c r="G21" s="19">
        <f>('TRIMESTRAL COMERCIALES'!D18-'TRIMESTRAL COMERCIALES'!D7)/'TRIMESTRAL COMERCIALES'!D7</f>
        <v>-0.20097449851294058</v>
      </c>
      <c r="H21" s="19">
        <f>('TRIMESTRAL COMERCIALES'!D29-'TRIMESTRAL COMERCIALES'!D18)/'TRIMESTRAL COMERCIALES'!D18</f>
        <v>-0.3049021937118872</v>
      </c>
      <c r="I21" s="21">
        <f>('TRIMESTRAL COMERCIALES'!D40-'TRIMESTRAL COMERCIALES'!D29)/'TRIMESTRAL COMERCIALES'!D29</f>
        <v>0.39284493562720746</v>
      </c>
      <c r="K21" s="6"/>
      <c r="L21" s="18"/>
      <c r="M21" s="18"/>
      <c r="N21" s="18"/>
    </row>
    <row r="22" spans="1:14" x14ac:dyDescent="0.25">
      <c r="A22" s="6" t="s">
        <v>4</v>
      </c>
      <c r="B22" s="27">
        <f>('MENSUAL COMERCIALES'!E18-'MENSUAL COMERCIALES'!E7)/'MENSUAL COMERCIALES'!E7</f>
        <v>-0.75607801228960725</v>
      </c>
      <c r="C22" s="25">
        <f>('MENSUAL COMERCIALES'!E29-'MENSUAL COMERCIALES'!E18)/'MENSUAL COMERCIALES'!E18</f>
        <v>1.696969696969697</v>
      </c>
      <c r="D22" s="27">
        <f>('MENSUAL COMERCIALES'!E40-'MENSUAL COMERCIALES'!E29)/'MENSUAL COMERCIALES'!E29</f>
        <v>-0.24055773656423446</v>
      </c>
      <c r="F22" s="6" t="s">
        <v>31</v>
      </c>
      <c r="G22" s="21">
        <f>('TRIMESTRAL COMERCIALES'!E18-'TRIMESTRAL COMERCIALES'!E7)/'TRIMESTRAL COMERCIALES'!E7</f>
        <v>0.69918308505526194</v>
      </c>
      <c r="H22" s="21">
        <f>('TRIMESTRAL COMERCIALES'!E29-'TRIMESTRAL COMERCIALES'!E18)/'TRIMESTRAL COMERCIALES'!E18</f>
        <v>8.3144796380090494E-2</v>
      </c>
      <c r="I22" s="21">
        <f>('TRIMESTRAL COMERCIALES'!E40-'TRIMESTRAL COMERCIALES'!E29)/'TRIMESTRAL COMERCIALES'!E29</f>
        <v>-0.46631853785900784</v>
      </c>
      <c r="K22" s="6"/>
      <c r="L22" s="18"/>
      <c r="M22" s="18"/>
      <c r="N22" s="18"/>
    </row>
    <row r="23" spans="1:14" x14ac:dyDescent="0.25">
      <c r="A23" s="6" t="s">
        <v>5</v>
      </c>
      <c r="B23" s="27">
        <f>('MENSUAL COMERCIALES'!F18-'MENSUAL COMERCIALES'!F7)/'MENSUAL COMERCIALES'!F7</f>
        <v>-0.54950442289246515</v>
      </c>
      <c r="C23" s="25">
        <f>('MENSUAL COMERCIALES'!F29-'MENSUAL COMERCIALES'!F18)/'MENSUAL COMERCIALES'!F18</f>
        <v>0.97705228294298552</v>
      </c>
      <c r="D23" s="25">
        <f>('MENSUAL COMERCIALES'!F40-'MENSUAL COMERCIALES'!F29)/'MENSUAL COMERCIALES'!F29</f>
        <v>-0.6730884288620318</v>
      </c>
      <c r="F23" s="6"/>
      <c r="G23" s="18"/>
      <c r="H23" s="18"/>
      <c r="I23" s="18"/>
      <c r="K23" s="6"/>
      <c r="L23" s="18"/>
      <c r="M23" s="18"/>
      <c r="N23" s="18"/>
    </row>
    <row r="24" spans="1:14" x14ac:dyDescent="0.25">
      <c r="A24" s="6" t="s">
        <v>6</v>
      </c>
      <c r="B24" s="27">
        <f>('MENSUAL COMERCIALES'!G18-'MENSUAL COMERCIALES'!G7)/'MENSUAL COMERCIALES'!G7</f>
        <v>-0.68083980239943542</v>
      </c>
      <c r="C24" s="25">
        <f>('MENSUAL COMERCIALES'!G29-'MENSUAL COMERCIALES'!G18)/'MENSUAL COMERCIALES'!G18</f>
        <v>0.351575456053068</v>
      </c>
      <c r="D24" s="25">
        <f>('MENSUAL COMERCIALES'!G40-'MENSUAL COMERCIALES'!G29)/'MENSUAL COMERCIALES'!G29</f>
        <v>0.21063394683026584</v>
      </c>
      <c r="F24" s="6"/>
      <c r="G24" s="18"/>
      <c r="H24" s="18"/>
      <c r="I24" s="18"/>
      <c r="K24" s="6"/>
      <c r="L24" s="18"/>
      <c r="M24" s="18"/>
      <c r="N24" s="18"/>
    </row>
    <row r="25" spans="1:14" x14ac:dyDescent="0.25">
      <c r="A25" s="6" t="s">
        <v>7</v>
      </c>
      <c r="B25" s="25">
        <f>('MENSUAL COMERCIALES'!H18-'MENSUAL COMERCIALES'!H7)/'MENSUAL COMERCIALES'!H7</f>
        <v>2.24977856510186</v>
      </c>
      <c r="C25" s="27">
        <f>('MENSUAL COMERCIALES'!H29-'MENSUAL COMERCIALES'!H18)/'MENSUAL COMERCIALES'!H18</f>
        <v>-0.6125647315344781</v>
      </c>
      <c r="D25" s="25">
        <f>('MENSUAL COMERCIALES'!H40-'MENSUAL COMERCIALES'!H29)/'MENSUAL COMERCIALES'!H29</f>
        <v>0.93141048188533238</v>
      </c>
      <c r="F25" s="6"/>
      <c r="G25" s="18"/>
      <c r="H25" s="18"/>
      <c r="I25" s="18"/>
      <c r="K25" s="6"/>
      <c r="L25" s="18"/>
      <c r="M25" s="18"/>
      <c r="N25" s="18"/>
    </row>
    <row r="26" spans="1:14" x14ac:dyDescent="0.25">
      <c r="A26" s="6" t="s">
        <v>8</v>
      </c>
      <c r="B26" s="27">
        <f>('MENSUAL COMERCIALES'!I18-'MENSUAL COMERCIALES'!I7)/'MENSUAL COMERCIALES'!I7</f>
        <v>-0.67198443579766542</v>
      </c>
      <c r="C26" s="25">
        <f>('MENSUAL COMERCIALES'!I29-'MENSUAL COMERCIALES'!I18)/'MENSUAL COMERCIALES'!I18</f>
        <v>0.45729537366548045</v>
      </c>
      <c r="D26" s="25">
        <f>('MENSUAL COMERCIALES'!I40-'MENSUAL COMERCIALES'!I29)/'MENSUAL COMERCIALES'!I29</f>
        <v>-0.45421245421245421</v>
      </c>
      <c r="F26" s="6"/>
      <c r="G26" s="18"/>
      <c r="H26" s="18"/>
      <c r="I26" s="18"/>
      <c r="K26" s="6"/>
      <c r="L26" s="18"/>
      <c r="M26" s="18"/>
      <c r="N26" s="18"/>
    </row>
    <row r="27" spans="1:14" x14ac:dyDescent="0.25">
      <c r="A27" t="s">
        <v>9</v>
      </c>
      <c r="B27" s="30">
        <f>('MENSUAL COMERCIALES'!J18-'MENSUAL COMERCIALES'!J7)/'MENSUAL COMERCIALES'!J7</f>
        <v>-0.57132659131469365</v>
      </c>
      <c r="C27" s="30">
        <f>('MENSUAL COMERCIALES'!J29-'MENSUAL COMERCIALES'!J18)/'MENSUAL COMERCIALES'!J18</f>
        <v>-3.4970857618651124E-2</v>
      </c>
      <c r="D27" s="23">
        <f>('MENSUAL COMERCIALES'!J40-'MENSUAL COMERCIALES'!J29)/'MENSUAL COMERCIALES'!J29</f>
        <v>0.55104975553638191</v>
      </c>
      <c r="G27" s="8"/>
      <c r="H27" s="16"/>
      <c r="I27" s="16"/>
      <c r="L27" s="8"/>
      <c r="M27" s="16"/>
      <c r="N27" s="16"/>
    </row>
    <row r="28" spans="1:14" x14ac:dyDescent="0.25">
      <c r="A28" t="s">
        <v>10</v>
      </c>
      <c r="B28" s="30">
        <f>('MENSUAL COMERCIALES'!K18-'MENSUAL COMERCIALES'!K7)/'MENSUAL COMERCIALES'!K7</f>
        <v>-0.54894359371971313</v>
      </c>
      <c r="C28" s="23">
        <f>('MENSUAL COMERCIALES'!K29-'MENSUAL COMERCIALES'!K18)/'MENSUAL COMERCIALES'!K18</f>
        <v>1.7180919639020198</v>
      </c>
      <c r="D28" s="23">
        <f>('MENSUAL COMERCIALES'!K40-'MENSUAL COMERCIALES'!K29)/'MENSUAL COMERCIALES'!K29</f>
        <v>-0.27162055335968377</v>
      </c>
      <c r="G28" s="8"/>
      <c r="H28" s="16"/>
      <c r="I28" s="16"/>
      <c r="L28" s="8"/>
      <c r="M28" s="16"/>
      <c r="N28" s="16"/>
    </row>
    <row r="29" spans="1:14" x14ac:dyDescent="0.25">
      <c r="A29" t="s">
        <v>11</v>
      </c>
      <c r="B29" s="23">
        <f>('MENSUAL COMERCIALES'!L18-'MENSUAL COMERCIALES'!L7)/'MENSUAL COMERCIALES'!L7</f>
        <v>1.4660347551342812</v>
      </c>
      <c r="C29" s="30">
        <f>('MENSUAL COMERCIALES'!L29-'MENSUAL COMERCIALES'!L18)/'MENSUAL COMERCIALES'!L18</f>
        <v>-0.64663677130044839</v>
      </c>
      <c r="D29" s="23">
        <f>('MENSUAL COMERCIALES'!L40-'MENSUAL COMERCIALES'!L29)/'MENSUAL COMERCIALES'!L29</f>
        <v>-0.34118926758520668</v>
      </c>
      <c r="G29" s="8"/>
      <c r="H29" s="16"/>
      <c r="I29" s="16"/>
      <c r="L29" s="8"/>
      <c r="M29" s="16"/>
      <c r="N29" s="16"/>
    </row>
    <row r="30" spans="1:14" x14ac:dyDescent="0.25">
      <c r="A30" t="s">
        <v>12</v>
      </c>
      <c r="B30" s="23">
        <f>('MENSUAL COMERCIALES'!M18-'MENSUAL COMERCIALES'!M7)/1</f>
        <v>4012</v>
      </c>
      <c r="C30" s="23">
        <f>('MENSUAL COMERCIALES'!M29-'MENSUAL COMERCIALES'!M18)/'MENSUAL COMERCIALES'!M18</f>
        <v>0.55458624127617151</v>
      </c>
      <c r="D30" s="23">
        <f>('MENSUAL COMERCIALES'!M40-'MENSUAL COMERCIALES'!M29)/'MENSUAL COMERCIALES'!M29</f>
        <v>-0.71909571909571912</v>
      </c>
      <c r="G30" s="8"/>
      <c r="H30" s="16"/>
      <c r="I30" s="16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058D-C814-4547-AF49-0732B49B2EFC}">
  <dimension ref="A1:N30"/>
  <sheetViews>
    <sheetView workbookViewId="0">
      <selection activeCell="I3" sqref="I3:I5"/>
    </sheetView>
  </sheetViews>
  <sheetFormatPr baseColWidth="10" defaultColWidth="11.42578125" defaultRowHeight="15" x14ac:dyDescent="0.25"/>
  <cols>
    <col min="6" max="6" width="17.7109375" customWidth="1"/>
    <col min="11" max="11" width="17.5703125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6" t="s">
        <v>1</v>
      </c>
      <c r="B3" s="18">
        <f>'MENSUAL COMERCIALES'!B19-'MENSUAL COMERCIALES'!B8</f>
        <v>8356</v>
      </c>
      <c r="C3" s="18">
        <f>'MENSUAL COMERCIALES'!B30-'MENSUAL COMERCIALES'!B19</f>
        <v>-7786</v>
      </c>
      <c r="D3" s="18">
        <f>'MENSUAL COMERCIALES'!B41-'MENSUAL COMERCIALES'!B30</f>
        <v>5193</v>
      </c>
      <c r="F3" s="6" t="s">
        <v>28</v>
      </c>
      <c r="G3" s="18">
        <f>'TRIMESTRAL COMERCIALES'!B19-'TRIMESTRAL COMERCIALES'!B8</f>
        <v>-33136</v>
      </c>
      <c r="H3" s="18">
        <f>'TRIMESTRAL COMERCIALES'!B30-'TRIMESTRAL COMERCIALES'!B19</f>
        <v>-14142</v>
      </c>
      <c r="I3" s="18">
        <f>'TRIMESTRAL COMERCIALES'!B41-'TRIMESTRAL COMERCIALES'!B30</f>
        <v>4340</v>
      </c>
      <c r="K3" s="6"/>
      <c r="L3" s="18">
        <f>'ANUAL COMERCIALES'!C9-'ANUAL COMERCIALES'!B9</f>
        <v>-50549</v>
      </c>
      <c r="M3" s="18">
        <f>'ANUAL COMERCIALES'!D9-'ANUAL COMERCIALES'!C9</f>
        <v>916</v>
      </c>
      <c r="N3" s="18">
        <f>'ANUAL COMERCIALES'!E9-'ANUAL COMERCIALES'!D9</f>
        <v>-14838</v>
      </c>
    </row>
    <row r="4" spans="1:14" x14ac:dyDescent="0.25">
      <c r="A4" s="6" t="s">
        <v>2</v>
      </c>
      <c r="B4" s="18">
        <f>'MENSUAL COMERCIALES'!C19-'MENSUAL COMERCIALES'!C8</f>
        <v>-19356</v>
      </c>
      <c r="C4" s="18">
        <f>'MENSUAL COMERCIALES'!C30-'MENSUAL COMERCIALES'!C19</f>
        <v>-9105</v>
      </c>
      <c r="D4" s="18">
        <f>'MENSUAL COMERCIALES'!C41-'MENSUAL COMERCIALES'!C30</f>
        <v>-1980</v>
      </c>
      <c r="F4" s="6" t="s">
        <v>29</v>
      </c>
      <c r="G4" s="18">
        <f>'TRIMESTRAL COMERCIALES'!C19-'TRIMESTRAL COMERCIALES'!C8</f>
        <v>-18996</v>
      </c>
      <c r="H4" s="18">
        <f>'TRIMESTRAL COMERCIALES'!C30-'TRIMESTRAL COMERCIALES'!C19</f>
        <v>8963</v>
      </c>
      <c r="I4" s="18">
        <f>'TRIMESTRAL COMERCIALES'!C41-'TRIMESTRAL COMERCIALES'!C30</f>
        <v>-13245</v>
      </c>
      <c r="K4" s="6"/>
      <c r="L4" s="18"/>
      <c r="M4" s="18"/>
      <c r="N4" s="18"/>
    </row>
    <row r="5" spans="1:14" x14ac:dyDescent="0.25">
      <c r="A5" s="6" t="s">
        <v>3</v>
      </c>
      <c r="B5" s="18">
        <f>'MENSUAL COMERCIALES'!D19-'MENSUAL COMERCIALES'!D8</f>
        <v>-22136</v>
      </c>
      <c r="C5" s="18">
        <f>'MENSUAL COMERCIALES'!D30-'MENSUAL COMERCIALES'!D19</f>
        <v>2749</v>
      </c>
      <c r="D5" s="18">
        <f>'MENSUAL COMERCIALES'!D41-'MENSUAL COMERCIALES'!D30</f>
        <v>1127</v>
      </c>
      <c r="F5" s="6" t="s">
        <v>30</v>
      </c>
      <c r="G5" s="18">
        <f>'TRIMESTRAL COMERCIALES'!D19-'TRIMESTRAL COMERCIALES'!D8</f>
        <v>-1060</v>
      </c>
      <c r="H5" s="18">
        <f>'TRIMESTRAL COMERCIALES'!D30-'TRIMESTRAL COMERCIALES'!D19</f>
        <v>7697</v>
      </c>
      <c r="I5" s="18">
        <f>'TRIMESTRAL COMERCIALES'!D41-'TRIMESTRAL COMERCIALES'!D30</f>
        <v>-1937</v>
      </c>
      <c r="K5" s="6"/>
      <c r="L5" s="18"/>
      <c r="M5" s="18"/>
      <c r="N5" s="18"/>
    </row>
    <row r="6" spans="1:14" x14ac:dyDescent="0.25">
      <c r="A6" s="6" t="s">
        <v>4</v>
      </c>
      <c r="B6" s="18">
        <f>'MENSUAL COMERCIALES'!E19-'MENSUAL COMERCIALES'!E8</f>
        <v>-9009</v>
      </c>
      <c r="C6" s="18">
        <f>'MENSUAL COMERCIALES'!E30-'MENSUAL COMERCIALES'!E19</f>
        <v>13844</v>
      </c>
      <c r="D6" s="18">
        <f>'MENSUAL COMERCIALES'!E41-'MENSUAL COMERCIALES'!E30</f>
        <v>-14448</v>
      </c>
      <c r="F6" s="6" t="s">
        <v>31</v>
      </c>
      <c r="G6" s="18">
        <f>'TRIMESTRAL COMERCIALES'!E19-'TRIMESTRAL COMERCIALES'!E8</f>
        <v>2643</v>
      </c>
      <c r="H6" s="18">
        <f>'TRIMESTRAL COMERCIALES'!E30-'TRIMESTRAL COMERCIALES'!E19</f>
        <v>-1602</v>
      </c>
      <c r="I6" s="18">
        <f>'TRIMESTRAL COMERCIALES'!E41-'TRIMESTRAL COMERCIALES'!E30</f>
        <v>-3996</v>
      </c>
      <c r="K6" s="6"/>
      <c r="L6" s="18"/>
      <c r="M6" s="18"/>
      <c r="N6" s="18"/>
    </row>
    <row r="7" spans="1:14" x14ac:dyDescent="0.25">
      <c r="A7" s="6" t="s">
        <v>5</v>
      </c>
      <c r="B7" s="18">
        <f>'MENSUAL COMERCIALES'!F19-'MENSUAL COMERCIALES'!F8</f>
        <v>-7736</v>
      </c>
      <c r="C7" s="18">
        <f>'MENSUAL COMERCIALES'!F30-'MENSUAL COMERCIALES'!F19</f>
        <v>-5881</v>
      </c>
      <c r="D7" s="18">
        <f>'MENSUAL COMERCIALES'!F41-'MENSUAL COMERCIALES'!F30</f>
        <v>-9266</v>
      </c>
      <c r="F7" s="6"/>
      <c r="G7" s="18"/>
      <c r="H7" s="18"/>
      <c r="I7" s="18"/>
      <c r="K7" s="6"/>
      <c r="L7" s="18"/>
      <c r="M7" s="18"/>
      <c r="N7" s="18"/>
    </row>
    <row r="8" spans="1:14" x14ac:dyDescent="0.25">
      <c r="A8" s="6" t="s">
        <v>6</v>
      </c>
      <c r="B8" s="18">
        <f>'MENSUAL COMERCIALES'!G19-'MENSUAL COMERCIALES'!G8</f>
        <v>-2251</v>
      </c>
      <c r="C8" s="18">
        <f>'MENSUAL COMERCIALES'!G30-'MENSUAL COMERCIALES'!G19</f>
        <v>1000</v>
      </c>
      <c r="D8" s="18">
        <f>'MENSUAL COMERCIALES'!G41-'MENSUAL COMERCIALES'!G30</f>
        <v>10469</v>
      </c>
      <c r="F8" s="6"/>
      <c r="G8" s="18"/>
      <c r="H8" s="18"/>
      <c r="I8" s="18"/>
      <c r="K8" s="6"/>
      <c r="L8" s="18"/>
      <c r="M8" s="18"/>
      <c r="N8" s="18"/>
    </row>
    <row r="9" spans="1:14" x14ac:dyDescent="0.25">
      <c r="A9" s="6" t="s">
        <v>7</v>
      </c>
      <c r="B9" s="18">
        <f>'MENSUAL COMERCIALES'!H19-'MENSUAL COMERCIALES'!H8</f>
        <v>-12571</v>
      </c>
      <c r="C9" s="18">
        <f>'MENSUAL COMERCIALES'!H30-'MENSUAL COMERCIALES'!H19</f>
        <v>1813</v>
      </c>
      <c r="D9" s="18">
        <f>'MENSUAL COMERCIALES'!H41-'MENSUAL COMERCIALES'!H30</f>
        <v>6954</v>
      </c>
      <c r="F9" s="6"/>
      <c r="G9" s="18"/>
      <c r="H9" s="18"/>
      <c r="I9" s="18"/>
      <c r="K9" s="6"/>
      <c r="L9" s="18"/>
      <c r="M9" s="18"/>
      <c r="N9" s="18"/>
    </row>
    <row r="10" spans="1:14" x14ac:dyDescent="0.25">
      <c r="A10" s="6" t="s">
        <v>8</v>
      </c>
      <c r="B10" s="18">
        <f>'MENSUAL COMERCIALES'!I19-'MENSUAL COMERCIALES'!I8</f>
        <v>4147</v>
      </c>
      <c r="C10" s="18">
        <f>'MENSUAL COMERCIALES'!I30-'MENSUAL COMERCIALES'!I19</f>
        <v>10029</v>
      </c>
      <c r="D10" s="18">
        <f>'MENSUAL COMERCIALES'!I41-'MENSUAL COMERCIALES'!I30</f>
        <v>-13443</v>
      </c>
      <c r="F10" s="6"/>
      <c r="G10" s="18"/>
      <c r="H10" s="18"/>
      <c r="I10" s="18"/>
      <c r="K10" s="6"/>
      <c r="L10" s="18"/>
      <c r="M10" s="18"/>
      <c r="N10" s="18"/>
    </row>
    <row r="11" spans="1:14" x14ac:dyDescent="0.25">
      <c r="A11" t="s">
        <v>9</v>
      </c>
      <c r="B11" s="8">
        <f>'MENSUAL COMERCIALES'!J19-'MENSUAL COMERCIALES'!J8</f>
        <v>7364</v>
      </c>
      <c r="C11" s="8">
        <f>'MENSUAL COMERCIALES'!J30-'MENSUAL COMERCIALES'!J19</f>
        <v>-4145</v>
      </c>
      <c r="D11" s="8">
        <f>'MENSUAL COMERCIALES'!J41-'MENSUAL COMERCIALES'!J30</f>
        <v>4552</v>
      </c>
      <c r="G11" s="8"/>
      <c r="H11" s="8"/>
      <c r="I11" s="8"/>
      <c r="L11" s="8"/>
      <c r="M11" s="8"/>
      <c r="N11" s="8"/>
    </row>
    <row r="12" spans="1:14" x14ac:dyDescent="0.25">
      <c r="A12" t="s">
        <v>10</v>
      </c>
      <c r="B12" s="8">
        <f>'MENSUAL COMERCIALES'!K19-'MENSUAL COMERCIALES'!K8</f>
        <v>-1397</v>
      </c>
      <c r="C12" s="8">
        <f>'MENSUAL COMERCIALES'!K30-'MENSUAL COMERCIALES'!K19</f>
        <v>-2133</v>
      </c>
      <c r="D12" s="8">
        <f>'MENSUAL COMERCIALES'!K41-'MENSUAL COMERCIALES'!K30</f>
        <v>11881</v>
      </c>
      <c r="G12" s="8"/>
      <c r="H12" s="8"/>
      <c r="I12" s="8"/>
      <c r="L12" s="8"/>
      <c r="M12" s="8"/>
      <c r="N12" s="8"/>
    </row>
    <row r="13" spans="1:14" x14ac:dyDescent="0.25">
      <c r="A13" t="s">
        <v>11</v>
      </c>
      <c r="B13" s="8">
        <f>'MENSUAL COMERCIALES'!L19-'MENSUAL COMERCIALES'!L8</f>
        <v>-538</v>
      </c>
      <c r="C13" s="8">
        <f>'MENSUAL COMERCIALES'!L30-'MENSUAL COMERCIALES'!L19</f>
        <v>12091</v>
      </c>
      <c r="D13" s="8">
        <f>'MENSUAL COMERCIALES'!L41-'MENSUAL COMERCIALES'!L30</f>
        <v>-14643</v>
      </c>
      <c r="G13" s="8"/>
      <c r="H13" s="8"/>
      <c r="I13" s="8"/>
      <c r="L13" s="8"/>
      <c r="M13" s="8"/>
      <c r="N13" s="8"/>
    </row>
    <row r="14" spans="1:14" x14ac:dyDescent="0.25">
      <c r="A14" t="s">
        <v>12</v>
      </c>
      <c r="B14" s="8">
        <f>'MENSUAL COMERCIALES'!M19-'MENSUAL COMERCIALES'!M8</f>
        <v>4578</v>
      </c>
      <c r="C14" s="8">
        <f>'MENSUAL COMERCIALES'!M30-'MENSUAL COMERCIALES'!M19</f>
        <v>-11560</v>
      </c>
      <c r="D14" s="8">
        <f>'MENSUAL COMERCIALES'!M41-'MENSUAL COMERCIALES'!M30</f>
        <v>-1234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31" t="s">
        <v>32</v>
      </c>
      <c r="B18" s="31" t="s">
        <v>25</v>
      </c>
      <c r="C18" s="31" t="s">
        <v>26</v>
      </c>
      <c r="D18" s="31" t="s">
        <v>27</v>
      </c>
      <c r="F18" s="31" t="s">
        <v>32</v>
      </c>
      <c r="G18" s="31" t="s">
        <v>25</v>
      </c>
      <c r="H18" s="31" t="s">
        <v>26</v>
      </c>
      <c r="I18" s="31" t="s">
        <v>27</v>
      </c>
      <c r="K18" s="31" t="s">
        <v>32</v>
      </c>
      <c r="L18" s="31" t="s">
        <v>25</v>
      </c>
      <c r="M18" s="31" t="s">
        <v>26</v>
      </c>
      <c r="N18" s="31" t="s">
        <v>27</v>
      </c>
    </row>
    <row r="19" spans="1:14" x14ac:dyDescent="0.25">
      <c r="A19" s="6" t="s">
        <v>1</v>
      </c>
      <c r="B19" s="25">
        <f>('MENSUAL COMERCIALES'!B19-'MENSUAL COMERCIALES'!B8)/'MENSUAL COMERCIALES'!B8</f>
        <v>1.6742135844520136</v>
      </c>
      <c r="C19" s="27">
        <f>('MENSUAL COMERCIALES'!B30-'MENSUAL COMERCIALES'!B19)/'MENSUAL COMERCIALES'!B19</f>
        <v>-0.58335206413426233</v>
      </c>
      <c r="D19" s="25">
        <f>('MENSUAL COMERCIALES'!B41-'MENSUAL COMERCIALES'!B30)/'MENSUAL COMERCIALES'!B30</f>
        <v>0.93382485164538753</v>
      </c>
      <c r="F19" s="6" t="s">
        <v>28</v>
      </c>
      <c r="G19" s="19">
        <f>('TRIMESTRAL COMERCIALES'!B19-'TRIMESTRAL COMERCIALES'!B8)/'TRIMESTRAL COMERCIALES'!B8</f>
        <v>-0.44752978039491098</v>
      </c>
      <c r="H19" s="19">
        <f>('TRIMESTRAL COMERCIALES'!B30-'TRIMESTRAL COMERCIALES'!B19)/'TRIMESTRAL COMERCIALES'!B19</f>
        <v>-0.34571945435877377</v>
      </c>
      <c r="I19" s="21">
        <f>('TRIMESTRAL COMERCIALES'!B41-'TRIMESTRAL COMERCIALES'!B30)/'TRIMESTRAL COMERCIALES'!B30</f>
        <v>0.1621581228515917</v>
      </c>
      <c r="K19" s="6"/>
      <c r="L19" s="19">
        <f>('ANUAL COMERCIALES'!C9-'ANUAL COMERCIALES'!B9)/'ANUAL COMERCIALES'!B9</f>
        <v>-0.28000177254875896</v>
      </c>
      <c r="M19" s="21">
        <f>('ANUAL COMERCIALES'!D9-'ANUAL COMERCIALES'!C9)/'ANUAL COMERCIALES'!C9</f>
        <v>7.0471296025603541E-3</v>
      </c>
      <c r="N19" s="21">
        <f>('ANUAL COMERCIALES'!E9-'ANUAL COMERCIALES'!D9)/'ANUAL COMERCIALES'!D9</f>
        <v>-0.11335543705786184</v>
      </c>
    </row>
    <row r="20" spans="1:14" x14ac:dyDescent="0.25">
      <c r="A20" s="6" t="s">
        <v>2</v>
      </c>
      <c r="B20" s="27">
        <f>('MENSUAL COMERCIALES'!C19-'MENSUAL COMERCIALES'!C8)/'MENSUAL COMERCIALES'!C8</f>
        <v>-0.55426378787011055</v>
      </c>
      <c r="C20" s="27">
        <f>('MENSUAL COMERCIALES'!C30-'MENSUAL COMERCIALES'!C19)/'MENSUAL COMERCIALES'!C19</f>
        <v>-0.58492869073622</v>
      </c>
      <c r="D20" s="27">
        <f>('MENSUAL COMERCIALES'!C41-'MENSUAL COMERCIALES'!C30)/'MENSUAL COMERCIALES'!C30</f>
        <v>-0.30645410927101069</v>
      </c>
      <c r="F20" s="6" t="s">
        <v>29</v>
      </c>
      <c r="G20" s="19">
        <f>('TRIMESTRAL COMERCIALES'!C19-'TRIMESTRAL COMERCIALES'!C8)/'TRIMESTRAL COMERCIALES'!C8</f>
        <v>-0.42764520486267449</v>
      </c>
      <c r="H20" s="21">
        <f>('TRIMESTRAL COMERCIALES'!C30-'TRIMESTRAL COMERCIALES'!C19)/'TRIMESTRAL COMERCIALES'!C19</f>
        <v>0.35254090623033352</v>
      </c>
      <c r="I20" s="21">
        <f>('TRIMESTRAL COMERCIALES'!C41-'TRIMESTRAL COMERCIALES'!C30)/'TRIMESTRAL COMERCIALES'!C30</f>
        <v>-0.38517462994736384</v>
      </c>
      <c r="K20" s="6"/>
      <c r="L20" s="18"/>
      <c r="M20" s="18"/>
      <c r="N20" s="18"/>
    </row>
    <row r="21" spans="1:14" x14ac:dyDescent="0.25">
      <c r="A21" s="6" t="s">
        <v>3</v>
      </c>
      <c r="B21" s="27">
        <f>('MENSUAL COMERCIALES'!D19-'MENSUAL COMERCIALES'!D8)/'MENSUAL COMERCIALES'!D8</f>
        <v>-0.6485979665387207</v>
      </c>
      <c r="C21" s="25">
        <f>('MENSUAL COMERCIALES'!D30-'MENSUAL COMERCIALES'!D19)/'MENSUAL COMERCIALES'!D19</f>
        <v>0.22921704327524389</v>
      </c>
      <c r="D21" s="25">
        <f>('MENSUAL COMERCIALES'!D41-'MENSUAL COMERCIALES'!D30)/'MENSUAL COMERCIALES'!D30</f>
        <v>7.6448243114909775E-2</v>
      </c>
      <c r="F21" s="6" t="s">
        <v>30</v>
      </c>
      <c r="G21" s="19">
        <f>('TRIMESTRAL COMERCIALES'!D19-'TRIMESTRAL COMERCIALES'!D8)/'TRIMESTRAL COMERCIALES'!D8</f>
        <v>-3.9088428350173315E-2</v>
      </c>
      <c r="H21" s="21">
        <f>('TRIMESTRAL COMERCIALES'!D30-'TRIMESTRAL COMERCIALES'!D19)/'TRIMESTRAL COMERCIALES'!D19</f>
        <v>0.2953795379537954</v>
      </c>
      <c r="I21" s="21">
        <f>('TRIMESTRAL COMERCIALES'!D41-'TRIMESTRAL COMERCIALES'!D30)/'TRIMESTRAL COMERCIALES'!D30</f>
        <v>-5.738409124574137E-2</v>
      </c>
      <c r="K21" s="6"/>
      <c r="L21" s="18"/>
      <c r="M21" s="18"/>
      <c r="N21" s="18"/>
    </row>
    <row r="22" spans="1:14" x14ac:dyDescent="0.25">
      <c r="A22" s="6" t="s">
        <v>4</v>
      </c>
      <c r="B22" s="27">
        <f>('MENSUAL COMERCIALES'!E19-'MENSUAL COMERCIALES'!E8)/'MENSUAL COMERCIALES'!E8</f>
        <v>-0.76574585635359116</v>
      </c>
      <c r="C22" s="25">
        <f>('MENSUAL COMERCIALES'!E30-'MENSUAL COMERCIALES'!E19)/'MENSUAL COMERCIALES'!E19</f>
        <v>5.0232220609579104</v>
      </c>
      <c r="D22" s="27">
        <f>('MENSUAL COMERCIALES'!E41-'MENSUAL COMERCIALES'!E30)/'MENSUAL COMERCIALES'!E30</f>
        <v>-0.87036144578313257</v>
      </c>
      <c r="F22" s="6" t="s">
        <v>31</v>
      </c>
      <c r="G22" s="21">
        <f>('TRIMESTRAL COMERCIALES'!E19-'TRIMESTRAL COMERCIALES'!E8)/'TRIMESTRAL COMERCIALES'!E8</f>
        <v>7.5620153929787423E-2</v>
      </c>
      <c r="H22" s="19">
        <f>('TRIMESTRAL COMERCIALES'!E30-'TRIMESTRAL COMERCIALES'!E19)/'TRIMESTRAL COMERCIALES'!E19</f>
        <v>-4.2613182954726818E-2</v>
      </c>
      <c r="I22" s="21">
        <f>('TRIMESTRAL COMERCIALES'!E41-'TRIMESTRAL COMERCIALES'!E30)/'TRIMESTRAL COMERCIALES'!E30</f>
        <v>-0.11102467214936652</v>
      </c>
      <c r="K22" s="6"/>
      <c r="L22" s="18"/>
      <c r="M22" s="18"/>
      <c r="N22" s="18"/>
    </row>
    <row r="23" spans="1:14" x14ac:dyDescent="0.25">
      <c r="A23" s="6" t="s">
        <v>5</v>
      </c>
      <c r="B23" s="27">
        <f>('MENSUAL COMERCIALES'!F19-'MENSUAL COMERCIALES'!F8)/'MENSUAL COMERCIALES'!F8</f>
        <v>-0.30992348062978248</v>
      </c>
      <c r="C23" s="27">
        <f>('MENSUAL COMERCIALES'!F30-'MENSUAL COMERCIALES'!F19)/'MENSUAL COMERCIALES'!F19</f>
        <v>-0.34142235123367198</v>
      </c>
      <c r="D23" s="25">
        <f>('MENSUAL COMERCIALES'!F41-'MENSUAL COMERCIALES'!F30)/'MENSUAL COMERCIALES'!F30</f>
        <v>-0.81681946403385053</v>
      </c>
      <c r="F23" s="6"/>
      <c r="G23" s="18"/>
      <c r="H23" s="18"/>
      <c r="I23" s="18"/>
      <c r="K23" s="6"/>
      <c r="L23" s="18"/>
      <c r="M23" s="18"/>
      <c r="N23" s="18"/>
    </row>
    <row r="24" spans="1:14" x14ac:dyDescent="0.25">
      <c r="A24" s="6" t="s">
        <v>6</v>
      </c>
      <c r="B24" s="27">
        <f>('MENSUAL COMERCIALES'!G19-'MENSUAL COMERCIALES'!G8)/'MENSUAL COMERCIALES'!G8</f>
        <v>-0.29256563556017678</v>
      </c>
      <c r="C24" s="25">
        <f>('MENSUAL COMERCIALES'!G30-'MENSUAL COMERCIALES'!G19)/'MENSUAL COMERCIALES'!G19</f>
        <v>0.18372221201543268</v>
      </c>
      <c r="D24" s="25">
        <f>('MENSUAL COMERCIALES'!G41-'MENSUAL COMERCIALES'!G30)/'MENSUAL COMERCIALES'!G30</f>
        <v>1.6248641936985877</v>
      </c>
      <c r="F24" s="6"/>
      <c r="G24" s="18"/>
      <c r="H24" s="18"/>
      <c r="I24" s="18"/>
      <c r="K24" s="6"/>
      <c r="L24" s="18"/>
      <c r="M24" s="18"/>
      <c r="N24" s="18"/>
    </row>
    <row r="25" spans="1:14" x14ac:dyDescent="0.25">
      <c r="A25" s="6" t="s">
        <v>7</v>
      </c>
      <c r="B25" s="27">
        <f>('MENSUAL COMERCIALES'!H19-'MENSUAL COMERCIALES'!H8)/'MENSUAL COMERCIALES'!H8</f>
        <v>-0.78938775510204084</v>
      </c>
      <c r="C25" s="25">
        <f>('MENSUAL COMERCIALES'!H30-'MENSUAL COMERCIALES'!H19)/'MENSUAL COMERCIALES'!H19</f>
        <v>0.54054859868813354</v>
      </c>
      <c r="D25" s="25">
        <f>('MENSUAL COMERCIALES'!H41-'MENSUAL COMERCIALES'!H30)/'MENSUAL COMERCIALES'!H30</f>
        <v>1.3458486549254887</v>
      </c>
      <c r="F25" s="6"/>
      <c r="G25" s="18"/>
      <c r="H25" s="18"/>
      <c r="I25" s="18"/>
      <c r="K25" s="6"/>
      <c r="L25" s="18"/>
      <c r="M25" s="18"/>
      <c r="N25" s="18"/>
    </row>
    <row r="26" spans="1:14" x14ac:dyDescent="0.25">
      <c r="A26" s="6" t="s">
        <v>8</v>
      </c>
      <c r="B26" s="25">
        <f>('MENSUAL COMERCIALES'!I19-'MENSUAL COMERCIALES'!I8)/'MENSUAL COMERCIALES'!I8</f>
        <v>0.78690702087286524</v>
      </c>
      <c r="C26" s="25">
        <f>('MENSUAL COMERCIALES'!I30-'MENSUAL COMERCIALES'!I19)/'MENSUAL COMERCIALES'!I19</f>
        <v>1.064988849952214</v>
      </c>
      <c r="D26" s="25">
        <f>('MENSUAL COMERCIALES'!I41-'MENSUAL COMERCIALES'!I30)/'MENSUAL COMERCIALES'!I30</f>
        <v>-0.69129898179574201</v>
      </c>
      <c r="F26" s="6"/>
      <c r="G26" s="18"/>
      <c r="H26" s="18"/>
      <c r="I26" s="18"/>
      <c r="K26" s="6"/>
      <c r="L26" s="18"/>
      <c r="M26" s="18"/>
      <c r="N26" s="18"/>
    </row>
    <row r="27" spans="1:14" x14ac:dyDescent="0.25">
      <c r="A27" t="s">
        <v>9</v>
      </c>
      <c r="B27" s="29">
        <f>('MENSUAL COMERCIALES'!J19-'MENSUAL COMERCIALES'!J8)/'MENSUAL COMERCIALES'!J8</f>
        <v>1.2432888738814789</v>
      </c>
      <c r="C27" s="30">
        <f>('MENSUAL COMERCIALES'!J30-'MENSUAL COMERCIALES'!J19)/'MENSUAL COMERCIALES'!J19</f>
        <v>-0.31195905772559646</v>
      </c>
      <c r="D27" s="29">
        <f>('MENSUAL COMERCIALES'!J41-'MENSUAL COMERCIALES'!J30)/'MENSUAL COMERCIALES'!J30</f>
        <v>0.49792168015751476</v>
      </c>
      <c r="G27" s="8"/>
      <c r="H27" s="16"/>
      <c r="I27" s="16"/>
      <c r="L27" s="8"/>
      <c r="M27" s="16"/>
      <c r="N27" s="16"/>
    </row>
    <row r="28" spans="1:14" x14ac:dyDescent="0.25">
      <c r="A28" t="s">
        <v>10</v>
      </c>
      <c r="B28" s="30">
        <f>('MENSUAL COMERCIALES'!K19-'MENSUAL COMERCIALES'!K8)/'MENSUAL COMERCIALES'!K8</f>
        <v>-0.1097321498703951</v>
      </c>
      <c r="C28" s="30">
        <f>('MENSUAL COMERCIALES'!K30-'MENSUAL COMERCIALES'!K19)/'MENSUAL COMERCIALES'!K19</f>
        <v>-0.18819481206987823</v>
      </c>
      <c r="D28" s="29">
        <f>('MENSUAL COMERCIALES'!K41-'MENSUAL COMERCIALES'!K30)/'MENSUAL COMERCIALES'!K30</f>
        <v>1.2912726877513314</v>
      </c>
      <c r="G28" s="8"/>
      <c r="H28" s="16"/>
      <c r="I28" s="16"/>
      <c r="L28" s="8"/>
      <c r="M28" s="16"/>
      <c r="N28" s="16"/>
    </row>
    <row r="29" spans="1:14" x14ac:dyDescent="0.25">
      <c r="A29" t="s">
        <v>11</v>
      </c>
      <c r="B29" s="30">
        <f>('MENSUAL COMERCIALES'!L19-'MENSUAL COMERCIALES'!L8)/'MENSUAL COMERCIALES'!L8</f>
        <v>-4.6978693677960183E-2</v>
      </c>
      <c r="C29" s="29">
        <f>('MENSUAL COMERCIALES'!L30-'MENSUAL COMERCIALES'!L19)/'MENSUAL COMERCIALES'!L19</f>
        <v>1.107843137254902</v>
      </c>
      <c r="D29" s="29">
        <f>('MENSUAL COMERCIALES'!L41-'MENSUAL COMERCIALES'!L30)/'MENSUAL COMERCIALES'!L30</f>
        <v>-0.6365138013475331</v>
      </c>
      <c r="G29" s="8"/>
      <c r="H29" s="16"/>
      <c r="I29" s="16"/>
      <c r="L29" s="8"/>
      <c r="M29" s="16"/>
      <c r="N29" s="16"/>
    </row>
    <row r="30" spans="1:14" x14ac:dyDescent="0.25">
      <c r="A30" t="s">
        <v>12</v>
      </c>
      <c r="B30" s="29">
        <f>('MENSUAL COMERCIALES'!M19-'MENSUAL COMERCIALES'!M8)/'MENSUAL COMERCIALES'!M8</f>
        <v>0.425148588410104</v>
      </c>
      <c r="C30" s="30">
        <f>('MENSUAL COMERCIALES'!M30-'MENSUAL COMERCIALES'!M19)/'MENSUAL COMERCIALES'!M19</f>
        <v>-0.75329075980711591</v>
      </c>
      <c r="D30" s="29">
        <f>('MENSUAL COMERCIALES'!M41-'MENSUAL COMERCIALES'!M30)/'MENSUAL COMERCIALES'!M30</f>
        <v>-0.3259376650818806</v>
      </c>
      <c r="G30" s="8"/>
      <c r="H30" s="16"/>
      <c r="I30" s="16"/>
      <c r="L30" s="8"/>
      <c r="M30" s="16"/>
      <c r="N30" s="16"/>
    </row>
  </sheetData>
  <mergeCells count="6">
    <mergeCell ref="A1:D1"/>
    <mergeCell ref="F1:I1"/>
    <mergeCell ref="K1:N1"/>
    <mergeCell ref="A17:D17"/>
    <mergeCell ref="F17:I17"/>
    <mergeCell ref="K17:N17"/>
  </mergeCells>
  <pageMargins left="0.7" right="0.7" top="0.75" bottom="0.75" header="0.3" footer="0.3"/>
  <ignoredErrors>
    <ignoredError sqref="B4:D14 B20:D30 G4:I6 G20:I22 M3:N3 L19:N19" calculatedColumn="1"/>
  </ignoredErrors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83A5-3278-40DD-800F-290E17C63190}">
  <dimension ref="A1:N30"/>
  <sheetViews>
    <sheetView workbookViewId="0">
      <selection activeCell="Z23" sqref="Z23"/>
    </sheetView>
  </sheetViews>
  <sheetFormatPr baseColWidth="10" defaultColWidth="11.42578125" defaultRowHeight="15" x14ac:dyDescent="0.25"/>
  <cols>
    <col min="6" max="6" width="17.7109375" customWidth="1"/>
    <col min="13" max="13" width="12.140625" bestFit="1" customWidth="1"/>
  </cols>
  <sheetData>
    <row r="1" spans="1:14" x14ac:dyDescent="0.25">
      <c r="A1" s="50" t="s">
        <v>21</v>
      </c>
      <c r="B1" s="50"/>
      <c r="C1" s="50"/>
      <c r="D1" s="50"/>
      <c r="F1" s="51" t="s">
        <v>22</v>
      </c>
      <c r="G1" s="51"/>
      <c r="H1" s="51"/>
      <c r="I1" s="51"/>
      <c r="K1" s="51" t="s">
        <v>23</v>
      </c>
      <c r="L1" s="51"/>
      <c r="M1" s="51"/>
      <c r="N1" s="51"/>
    </row>
    <row r="2" spans="1:14" x14ac:dyDescent="0.25">
      <c r="A2" s="13" t="s">
        <v>24</v>
      </c>
      <c r="B2" s="13" t="s">
        <v>25</v>
      </c>
      <c r="C2" s="13" t="s">
        <v>26</v>
      </c>
      <c r="D2" s="13" t="s">
        <v>27</v>
      </c>
      <c r="F2" s="13" t="s">
        <v>24</v>
      </c>
      <c r="G2" s="13" t="s">
        <v>25</v>
      </c>
      <c r="H2" s="13" t="s">
        <v>26</v>
      </c>
      <c r="I2" s="13" t="s">
        <v>27</v>
      </c>
      <c r="K2" s="13" t="s">
        <v>24</v>
      </c>
      <c r="L2" s="13" t="s">
        <v>25</v>
      </c>
      <c r="M2" s="13" t="s">
        <v>26</v>
      </c>
      <c r="N2" s="13" t="s">
        <v>27</v>
      </c>
    </row>
    <row r="3" spans="1:14" x14ac:dyDescent="0.25">
      <c r="A3" s="6" t="s">
        <v>1</v>
      </c>
      <c r="B3" s="18">
        <v>0</v>
      </c>
      <c r="C3" s="18">
        <f>'MENSUAL COMERCIALES'!B31-'MENSUAL COMERCIALES'!B20</f>
        <v>0</v>
      </c>
      <c r="D3" s="18">
        <f>'MENSUAL COMERCIALES'!B42-'MENSUAL COMERCIALES'!B31</f>
        <v>356</v>
      </c>
      <c r="F3" s="6" t="s">
        <v>28</v>
      </c>
      <c r="G3" s="18">
        <v>0</v>
      </c>
      <c r="H3" s="18">
        <f>'TRIMESTRAL COMERCIALES'!B31-'TRIMESTRAL COMERCIALES'!B20</f>
        <v>6424</v>
      </c>
      <c r="I3" s="18">
        <f>'TRIMESTRAL COMERCIALES'!B42-'TRIMESTRAL COMERCIALES'!B31</f>
        <v>-6068</v>
      </c>
      <c r="K3" s="6"/>
      <c r="L3" s="18">
        <v>0</v>
      </c>
      <c r="M3" s="18">
        <f>'ANUAL COMERCIALES'!D10-'ANUAL COMERCIALES'!C10</f>
        <v>18835</v>
      </c>
      <c r="N3" s="18">
        <f>'ANUAL COMERCIALES'!E10-'ANUAL COMERCIALES'!D10</f>
        <v>-9650</v>
      </c>
    </row>
    <row r="4" spans="1:14" x14ac:dyDescent="0.25">
      <c r="A4" s="6" t="s">
        <v>2</v>
      </c>
      <c r="B4" s="18">
        <v>0</v>
      </c>
      <c r="C4" s="18">
        <f>'MENSUAL COMERCIALES'!C31-'MENSUAL COMERCIALES'!C20</f>
        <v>6424</v>
      </c>
      <c r="D4" s="18">
        <f>'MENSUAL COMERCIALES'!C42-'MENSUAL COMERCIALES'!C31</f>
        <v>-6424</v>
      </c>
      <c r="F4" s="6" t="s">
        <v>29</v>
      </c>
      <c r="G4" s="18">
        <v>0</v>
      </c>
      <c r="H4" s="18">
        <f>'TRIMESTRAL COMERCIALES'!C31-'TRIMESTRAL COMERCIALES'!C20</f>
        <v>1322</v>
      </c>
      <c r="I4" s="18">
        <f>'TRIMESTRAL COMERCIALES'!C42-'TRIMESTRAL COMERCIALES'!C31</f>
        <v>2850</v>
      </c>
      <c r="K4" s="6"/>
      <c r="L4" s="18"/>
      <c r="M4" s="18"/>
      <c r="N4" s="18"/>
    </row>
    <row r="5" spans="1:14" x14ac:dyDescent="0.25">
      <c r="A5" s="6" t="s">
        <v>3</v>
      </c>
      <c r="B5" s="18">
        <v>0</v>
      </c>
      <c r="C5" s="18">
        <f>'MENSUAL COMERCIALES'!D31-'MENSUAL COMERCIALES'!D20</f>
        <v>0</v>
      </c>
      <c r="D5" s="18">
        <f>'MENSUAL COMERCIALES'!D42-'MENSUAL COMERCIALES'!D31</f>
        <v>0</v>
      </c>
      <c r="F5" s="6" t="s">
        <v>30</v>
      </c>
      <c r="G5" s="18">
        <v>0</v>
      </c>
      <c r="H5" s="18">
        <f>'TRIMESTRAL COMERCIALES'!D31-'TRIMESTRAL COMERCIALES'!D20</f>
        <v>4080</v>
      </c>
      <c r="I5" s="18">
        <f>'TRIMESTRAL COMERCIALES'!D42-'TRIMESTRAL COMERCIALES'!D31</f>
        <v>-1384</v>
      </c>
      <c r="K5" s="6"/>
      <c r="L5" s="18"/>
      <c r="M5" s="18"/>
      <c r="N5" s="18"/>
    </row>
    <row r="6" spans="1:14" x14ac:dyDescent="0.25">
      <c r="A6" s="6" t="s">
        <v>4</v>
      </c>
      <c r="B6" s="18">
        <v>0</v>
      </c>
      <c r="C6" s="18">
        <f>'MENSUAL COMERCIALES'!E31-'MENSUAL COMERCIALES'!E20</f>
        <v>249</v>
      </c>
      <c r="D6" s="18">
        <f>'MENSUAL COMERCIALES'!E42-'MENSUAL COMERCIALES'!E31</f>
        <v>-249</v>
      </c>
      <c r="F6" s="6" t="s">
        <v>31</v>
      </c>
      <c r="G6" s="18">
        <v>0</v>
      </c>
      <c r="H6" s="18">
        <f>'TRIMESTRAL COMERCIALES'!E31-'TRIMESTRAL COMERCIALES'!E20</f>
        <v>7009</v>
      </c>
      <c r="I6" s="18">
        <f>'TRIMESTRAL COMERCIALES'!E42-'TRIMESTRAL COMERCIALES'!E31</f>
        <v>-5048</v>
      </c>
      <c r="K6" s="6"/>
      <c r="L6" s="18"/>
      <c r="M6" s="18"/>
      <c r="N6" s="18"/>
    </row>
    <row r="7" spans="1:14" x14ac:dyDescent="0.25">
      <c r="A7" s="6" t="s">
        <v>5</v>
      </c>
      <c r="B7" s="18">
        <v>0</v>
      </c>
      <c r="C7" s="18">
        <f>'MENSUAL COMERCIALES'!F31-'MENSUAL COMERCIALES'!F20</f>
        <v>1073</v>
      </c>
      <c r="D7" s="18">
        <f>'MENSUAL COMERCIALES'!F42-'MENSUAL COMERCIALES'!F31</f>
        <v>3099</v>
      </c>
      <c r="F7" s="6"/>
      <c r="G7" s="18"/>
      <c r="H7" s="18"/>
      <c r="I7" s="18"/>
      <c r="K7" s="6"/>
      <c r="L7" s="18"/>
      <c r="M7" s="18"/>
      <c r="N7" s="18"/>
    </row>
    <row r="8" spans="1:14" x14ac:dyDescent="0.25">
      <c r="A8" s="6" t="s">
        <v>6</v>
      </c>
      <c r="B8" s="18">
        <v>0</v>
      </c>
      <c r="C8" s="18">
        <f>'MENSUAL COMERCIALES'!G31-'MENSUAL COMERCIALES'!G20</f>
        <v>0</v>
      </c>
      <c r="D8" s="18">
        <f>'MENSUAL COMERCIALES'!G42-'MENSUAL COMERCIALES'!G31</f>
        <v>0</v>
      </c>
      <c r="F8" s="6"/>
      <c r="G8" s="18"/>
      <c r="H8" s="18"/>
      <c r="I8" s="18"/>
      <c r="K8" s="6"/>
      <c r="L8" s="18"/>
      <c r="M8" s="18"/>
      <c r="N8" s="18"/>
    </row>
    <row r="9" spans="1:14" x14ac:dyDescent="0.25">
      <c r="A9" s="6" t="s">
        <v>7</v>
      </c>
      <c r="B9" s="18">
        <v>0</v>
      </c>
      <c r="C9" s="18">
        <f>'MENSUAL COMERCIALES'!H31-'MENSUAL COMERCIALES'!H20</f>
        <v>0</v>
      </c>
      <c r="D9" s="18">
        <f>'MENSUAL COMERCIALES'!H42-'MENSUAL COMERCIALES'!H31</f>
        <v>0</v>
      </c>
      <c r="F9" s="6"/>
      <c r="G9" s="18"/>
      <c r="H9" s="18"/>
      <c r="I9" s="18"/>
      <c r="K9" s="6"/>
      <c r="L9" s="18"/>
      <c r="M9" s="18"/>
      <c r="N9" s="18"/>
    </row>
    <row r="10" spans="1:14" x14ac:dyDescent="0.25">
      <c r="A10" s="6" t="s">
        <v>8</v>
      </c>
      <c r="B10" s="18">
        <v>0</v>
      </c>
      <c r="C10" s="18">
        <f>'MENSUAL COMERCIALES'!I31-'MENSUAL COMERCIALES'!I20</f>
        <v>661</v>
      </c>
      <c r="D10" s="18">
        <f>'MENSUAL COMERCIALES'!I42-'MENSUAL COMERCIALES'!I31</f>
        <v>-661</v>
      </c>
      <c r="F10" s="6"/>
      <c r="G10" s="18"/>
      <c r="H10" s="18"/>
      <c r="I10" s="18"/>
      <c r="K10" s="6"/>
      <c r="L10" s="18"/>
      <c r="M10" s="18"/>
      <c r="N10" s="18"/>
    </row>
    <row r="11" spans="1:14" x14ac:dyDescent="0.25">
      <c r="A11" t="s">
        <v>9</v>
      </c>
      <c r="B11" s="8">
        <v>0</v>
      </c>
      <c r="C11" s="8">
        <f>'MENSUAL COMERCIALES'!J31-'MENSUAL COMERCIALES'!J20</f>
        <v>3419</v>
      </c>
      <c r="D11" s="8">
        <f>'MENSUAL COMERCIALES'!J42-'MENSUAL COMERCIALES'!J31</f>
        <v>-723</v>
      </c>
      <c r="G11" s="8"/>
      <c r="H11" s="8"/>
      <c r="I11" s="8"/>
      <c r="L11" s="8"/>
      <c r="M11" s="8"/>
      <c r="N11" s="8"/>
    </row>
    <row r="12" spans="1:14" x14ac:dyDescent="0.25">
      <c r="A12" t="s">
        <v>10</v>
      </c>
      <c r="B12" s="8">
        <v>0</v>
      </c>
      <c r="C12" s="8">
        <f>'MENSUAL COMERCIALES'!K31-'MENSUAL COMERCIALES'!K20</f>
        <v>0</v>
      </c>
      <c r="D12" s="8">
        <f>'MENSUAL COMERCIALES'!K42-'MENSUAL COMERCIALES'!K31</f>
        <v>771</v>
      </c>
      <c r="G12" s="8"/>
      <c r="H12" s="8"/>
      <c r="I12" s="8"/>
      <c r="L12" s="8"/>
      <c r="M12" s="8"/>
      <c r="N12" s="8"/>
    </row>
    <row r="13" spans="1:14" x14ac:dyDescent="0.25">
      <c r="A13" t="s">
        <v>11</v>
      </c>
      <c r="B13" s="8">
        <v>0</v>
      </c>
      <c r="C13" s="8">
        <f>'MENSUAL COMERCIALES'!L31-'MENSUAL COMERCIALES'!L20</f>
        <v>4140</v>
      </c>
      <c r="D13" s="8">
        <f>'MENSUAL COMERCIALES'!L42-'MENSUAL COMERCIALES'!L31</f>
        <v>-3791</v>
      </c>
      <c r="G13" s="8"/>
      <c r="H13" s="8"/>
      <c r="I13" s="8"/>
      <c r="L13" s="8"/>
      <c r="M13" s="8"/>
      <c r="N13" s="8"/>
    </row>
    <row r="14" spans="1:14" x14ac:dyDescent="0.25">
      <c r="A14" t="s">
        <v>12</v>
      </c>
      <c r="B14" s="8">
        <v>0</v>
      </c>
      <c r="C14" s="8">
        <f>'MENSUAL COMERCIALES'!M31-'MENSUAL COMERCIALES'!M20</f>
        <v>2869</v>
      </c>
      <c r="D14" s="8">
        <f>'MENSUAL COMERCIALES'!M42-'MENSUAL COMERCIALES'!M31</f>
        <v>-2028</v>
      </c>
      <c r="G14" s="8"/>
      <c r="H14" s="8"/>
      <c r="I14" s="8"/>
      <c r="L14" s="8"/>
      <c r="M14" s="8"/>
      <c r="N14" s="8"/>
    </row>
    <row r="17" spans="1:14" x14ac:dyDescent="0.25">
      <c r="A17" s="50" t="s">
        <v>21</v>
      </c>
      <c r="B17" s="50"/>
      <c r="C17" s="50"/>
      <c r="D17" s="50"/>
      <c r="F17" s="51" t="s">
        <v>22</v>
      </c>
      <c r="G17" s="51"/>
      <c r="H17" s="51"/>
      <c r="I17" s="51"/>
      <c r="K17" s="51" t="s">
        <v>23</v>
      </c>
      <c r="L17" s="51"/>
      <c r="M17" s="51"/>
      <c r="N17" s="51"/>
    </row>
    <row r="18" spans="1:14" x14ac:dyDescent="0.25">
      <c r="A18" s="31" t="s">
        <v>32</v>
      </c>
      <c r="B18" s="31" t="s">
        <v>25</v>
      </c>
      <c r="C18" s="31" t="s">
        <v>26</v>
      </c>
      <c r="D18" s="31" t="s">
        <v>27</v>
      </c>
      <c r="F18" s="31" t="s">
        <v>32</v>
      </c>
      <c r="G18" s="31" t="s">
        <v>25</v>
      </c>
      <c r="H18" s="31" t="s">
        <v>26</v>
      </c>
      <c r="I18" s="31" t="s">
        <v>27</v>
      </c>
      <c r="K18" s="31" t="s">
        <v>32</v>
      </c>
      <c r="L18" s="31" t="s">
        <v>25</v>
      </c>
      <c r="M18" s="31" t="s">
        <v>26</v>
      </c>
      <c r="N18" s="31" t="s">
        <v>27</v>
      </c>
    </row>
    <row r="19" spans="1:14" x14ac:dyDescent="0.25">
      <c r="A19" s="6" t="s">
        <v>1</v>
      </c>
      <c r="B19" s="25">
        <v>0</v>
      </c>
      <c r="C19" s="27">
        <f>('MENSUAL COMERCIALES'!B31-'MENSUAL COMERCIALES'!B20)/1</f>
        <v>0</v>
      </c>
      <c r="D19" s="25">
        <f>('MENSUAL COMERCIALES'!B42-'MENSUAL COMERCIALES'!B31)/1</f>
        <v>356</v>
      </c>
      <c r="F19" s="6" t="s">
        <v>28</v>
      </c>
      <c r="G19" s="34">
        <v>0</v>
      </c>
      <c r="H19" s="21">
        <f>('TRIMESTRAL COMERCIALES'!B31-'TRIMESTRAL COMERCIALES'!B20)/1</f>
        <v>6424</v>
      </c>
      <c r="I19" s="19">
        <f>('TRIMESTRAL COMERCIALES'!B42-'TRIMESTRAL COMERCIALES'!B31)/'TRIMESTRAL COMERCIALES'!B31</f>
        <v>-0.94458281444582815</v>
      </c>
      <c r="K19" s="6"/>
      <c r="L19" s="34">
        <v>0</v>
      </c>
      <c r="M19" s="21">
        <f>('ANUAL COMERCIALES'!D10-'ANUAL COMERCIALES'!C10)/1</f>
        <v>18835</v>
      </c>
      <c r="N19" s="21">
        <f>('ANUAL COMERCIALES'!E10-'ANUAL COMERCIALES'!D10)/'ANUAL COMERCIALES'!D10</f>
        <v>-0.51234404035041148</v>
      </c>
    </row>
    <row r="20" spans="1:14" x14ac:dyDescent="0.25">
      <c r="A20" s="6" t="s">
        <v>2</v>
      </c>
      <c r="B20" s="25">
        <v>0</v>
      </c>
      <c r="C20" s="25">
        <f>('MENSUAL COMERCIALES'!C31-'MENSUAL COMERCIALES'!C20)/1</f>
        <v>6424</v>
      </c>
      <c r="D20" s="27">
        <f>('MENSUAL COMERCIALES'!C42-'MENSUAL COMERCIALES'!C31)/1</f>
        <v>-6424</v>
      </c>
      <c r="F20" s="6" t="s">
        <v>29</v>
      </c>
      <c r="G20" s="34">
        <v>0</v>
      </c>
      <c r="H20" s="21">
        <f>('TRIMESTRAL COMERCIALES'!C31-'TRIMESTRAL COMERCIALES'!C20)/1</f>
        <v>1322</v>
      </c>
      <c r="I20" s="21">
        <f>('TRIMESTRAL COMERCIALES'!C42-'TRIMESTRAL COMERCIALES'!C31)/'TRIMESTRAL COMERCIALES'!C31</f>
        <v>2.1558245083207264</v>
      </c>
      <c r="K20" s="6"/>
      <c r="L20" s="18"/>
      <c r="M20" s="18"/>
      <c r="N20" s="18"/>
    </row>
    <row r="21" spans="1:14" x14ac:dyDescent="0.25">
      <c r="A21" s="6" t="s">
        <v>3</v>
      </c>
      <c r="B21" s="25">
        <v>0</v>
      </c>
      <c r="C21" s="27">
        <f>('MENSUAL COMERCIALES'!D31-'MENSUAL COMERCIALES'!D20)/1</f>
        <v>0</v>
      </c>
      <c r="D21" s="27">
        <f>('MENSUAL COMERCIALES'!D42-'MENSUAL COMERCIALES'!D31)/1</f>
        <v>0</v>
      </c>
      <c r="F21" s="6" t="s">
        <v>30</v>
      </c>
      <c r="G21" s="34">
        <v>0</v>
      </c>
      <c r="H21" s="21">
        <f>('TRIMESTRAL COMERCIALES'!D31-'TRIMESTRAL COMERCIALES'!D20)/1</f>
        <v>4080</v>
      </c>
      <c r="I21" s="21">
        <f>('TRIMESTRAL COMERCIALES'!D42-'TRIMESTRAL COMERCIALES'!D31)/'TRIMESTRAL COMERCIALES'!D31</f>
        <v>-0.33921568627450982</v>
      </c>
      <c r="K21" s="6"/>
      <c r="L21" s="18"/>
      <c r="M21" s="18"/>
      <c r="N21" s="18"/>
    </row>
    <row r="22" spans="1:14" x14ac:dyDescent="0.25">
      <c r="A22" s="6" t="s">
        <v>4</v>
      </c>
      <c r="B22" s="25">
        <v>0</v>
      </c>
      <c r="C22" s="25">
        <f>('MENSUAL COMERCIALES'!E31-'MENSUAL COMERCIALES'!E20)/1</f>
        <v>249</v>
      </c>
      <c r="D22" s="27">
        <f>('MENSUAL COMERCIALES'!E42-'MENSUAL COMERCIALES'!E31)/1</f>
        <v>-249</v>
      </c>
      <c r="F22" s="6" t="s">
        <v>31</v>
      </c>
      <c r="G22" s="34">
        <v>0</v>
      </c>
      <c r="H22" s="21">
        <f>('TRIMESTRAL COMERCIALES'!E31-'TRIMESTRAL COMERCIALES'!E20)/1</f>
        <v>7009</v>
      </c>
      <c r="I22" s="21">
        <f>('TRIMESTRAL COMERCIALES'!E42-'TRIMESTRAL COMERCIALES'!E31)/'TRIMESTRAL COMERCIALES'!E31</f>
        <v>-0.72021686403195895</v>
      </c>
      <c r="K22" s="6"/>
      <c r="L22" s="18"/>
      <c r="M22" s="18"/>
      <c r="N22" s="18"/>
    </row>
    <row r="23" spans="1:14" x14ac:dyDescent="0.25">
      <c r="A23" s="6" t="s">
        <v>5</v>
      </c>
      <c r="B23" s="25">
        <v>0</v>
      </c>
      <c r="C23" s="25">
        <f>('MENSUAL COMERCIALES'!F31-'MENSUAL COMERCIALES'!F20)/1</f>
        <v>1073</v>
      </c>
      <c r="D23" s="25">
        <f>('MENSUAL COMERCIALES'!F42-'MENSUAL COMERCIALES'!F31)/'MENSUAL COMERCIALES'!F31</f>
        <v>2.8881640260950605</v>
      </c>
      <c r="F23" s="6"/>
      <c r="G23" s="18"/>
      <c r="H23" s="18"/>
      <c r="I23" s="18"/>
      <c r="K23" s="6"/>
      <c r="L23" s="18"/>
      <c r="M23" s="18"/>
      <c r="N23" s="18"/>
    </row>
    <row r="24" spans="1:14" x14ac:dyDescent="0.25">
      <c r="A24" s="6" t="s">
        <v>6</v>
      </c>
      <c r="B24" s="25">
        <v>0</v>
      </c>
      <c r="C24" s="27">
        <f>('MENSUAL COMERCIALES'!G31-'MENSUAL COMERCIALES'!G20)/1</f>
        <v>0</v>
      </c>
      <c r="D24" s="25">
        <f>('MENSUAL COMERCIALES'!G42-'MENSUAL COMERCIALES'!G31)/1</f>
        <v>0</v>
      </c>
      <c r="F24" s="6"/>
      <c r="G24" s="18"/>
      <c r="H24" s="18"/>
      <c r="I24" s="18"/>
      <c r="K24" s="6"/>
      <c r="L24" s="18"/>
      <c r="M24" s="18"/>
      <c r="N24" s="18"/>
    </row>
    <row r="25" spans="1:14" x14ac:dyDescent="0.25">
      <c r="A25" s="6" t="s">
        <v>7</v>
      </c>
      <c r="B25" s="25">
        <v>0</v>
      </c>
      <c r="C25" s="27">
        <f>('MENSUAL COMERCIALES'!H31-'MENSUAL COMERCIALES'!H20)/1</f>
        <v>0</v>
      </c>
      <c r="D25" s="25">
        <f>('MENSUAL COMERCIALES'!H42-'MENSUAL COMERCIALES'!H31)/1</f>
        <v>0</v>
      </c>
      <c r="F25" s="6"/>
      <c r="G25" s="18"/>
      <c r="H25" s="18"/>
      <c r="I25" s="18"/>
      <c r="K25" s="6"/>
      <c r="L25" s="18"/>
      <c r="M25" s="18"/>
      <c r="N25" s="18"/>
    </row>
    <row r="26" spans="1:14" x14ac:dyDescent="0.25">
      <c r="A26" s="6" t="s">
        <v>8</v>
      </c>
      <c r="B26" s="25">
        <v>0</v>
      </c>
      <c r="C26" s="25">
        <f>('MENSUAL COMERCIALES'!I31-'MENSUAL COMERCIALES'!I20)/1</f>
        <v>661</v>
      </c>
      <c r="D26" s="25">
        <f>('MENSUAL COMERCIALES'!I42-'MENSUAL COMERCIALES'!I31)/'MENSUAL COMERCIALES'!I31</f>
        <v>-1</v>
      </c>
      <c r="F26" s="6"/>
      <c r="G26" s="18"/>
      <c r="H26" s="18"/>
      <c r="I26" s="18"/>
      <c r="K26" s="6"/>
      <c r="L26" s="18"/>
      <c r="M26" s="18"/>
      <c r="N26" s="18"/>
    </row>
    <row r="27" spans="1:14" x14ac:dyDescent="0.25">
      <c r="A27" t="s">
        <v>9</v>
      </c>
      <c r="B27" s="29">
        <v>0</v>
      </c>
      <c r="C27" s="29">
        <f>('MENSUAL COMERCIALES'!J31-'MENSUAL COMERCIALES'!J20)/1</f>
        <v>3419</v>
      </c>
      <c r="D27" s="29">
        <f>('MENSUAL COMERCIALES'!J42-'MENSUAL COMERCIALES'!J31)/'MENSUAL COMERCIALES'!J31</f>
        <v>-0.21146534074290729</v>
      </c>
      <c r="G27" s="8"/>
      <c r="H27" s="16"/>
      <c r="I27" s="16"/>
      <c r="L27" s="8"/>
      <c r="M27" s="16"/>
      <c r="N27" s="16"/>
    </row>
    <row r="28" spans="1:14" x14ac:dyDescent="0.25">
      <c r="A28" t="s">
        <v>10</v>
      </c>
      <c r="B28" s="29">
        <v>0</v>
      </c>
      <c r="C28" s="30">
        <f>('MENSUAL COMERCIALES'!K31-'MENSUAL COMERCIALES'!K20)/1</f>
        <v>0</v>
      </c>
      <c r="D28" s="29">
        <f>('MENSUAL COMERCIALES'!K42-'MENSUAL COMERCIALES'!K31)/1</f>
        <v>771</v>
      </c>
      <c r="G28" s="8"/>
      <c r="H28" s="16"/>
      <c r="I28" s="16"/>
      <c r="L28" s="8"/>
      <c r="M28" s="16"/>
      <c r="N28" s="16"/>
    </row>
    <row r="29" spans="1:14" x14ac:dyDescent="0.25">
      <c r="A29" t="s">
        <v>11</v>
      </c>
      <c r="B29" s="29">
        <v>0</v>
      </c>
      <c r="C29" s="29">
        <f>('MENSUAL COMERCIALES'!L31-'MENSUAL COMERCIALES'!L20)/1</f>
        <v>4140</v>
      </c>
      <c r="D29" s="29">
        <f>('MENSUAL COMERCIALES'!L42-'MENSUAL COMERCIALES'!L31)/'MENSUAL COMERCIALES'!L31</f>
        <v>-0.91570048309178742</v>
      </c>
      <c r="G29" s="8"/>
      <c r="H29" s="16"/>
      <c r="I29" s="16"/>
      <c r="L29" s="8"/>
      <c r="M29" s="16"/>
      <c r="N29" s="16"/>
    </row>
    <row r="30" spans="1:14" x14ac:dyDescent="0.25">
      <c r="A30" t="s">
        <v>12</v>
      </c>
      <c r="B30" s="29">
        <v>0</v>
      </c>
      <c r="C30" s="29">
        <f>('MENSUAL COMERCIALES'!M31-'MENSUAL COMERCIALES'!M20)/1</f>
        <v>2869</v>
      </c>
      <c r="D30" s="29">
        <f>('MENSUAL COMERCIALES'!M42-'MENSUAL COMERCIALES'!M31)/'MENSUAL COMERCIALES'!M31</f>
        <v>-0.70686650400836526</v>
      </c>
      <c r="G30" s="8"/>
      <c r="H30" s="16"/>
      <c r="I30" s="16"/>
      <c r="L30" s="8"/>
      <c r="M30" s="16"/>
      <c r="N30" s="16"/>
    </row>
  </sheetData>
  <mergeCells count="6">
    <mergeCell ref="A17:D17"/>
    <mergeCell ref="F17:I17"/>
    <mergeCell ref="K17:N17"/>
    <mergeCell ref="A1:D1"/>
    <mergeCell ref="F1:I1"/>
    <mergeCell ref="K1:N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MENSUAL COMERCIALES</vt:lpstr>
      <vt:lpstr>TRIMESTRAL COMERCIALES</vt:lpstr>
      <vt:lpstr>ANUAL COMERCIALES</vt:lpstr>
      <vt:lpstr>Hoja1</vt:lpstr>
      <vt:lpstr>ESPIN</vt:lpstr>
      <vt:lpstr>LOMBARTE</vt:lpstr>
      <vt:lpstr>BEÑAT</vt:lpstr>
      <vt:lpstr>ANTONIO</vt:lpstr>
      <vt:lpstr>ÁNGEL</vt:lpstr>
      <vt:lpstr>CORESUR</vt:lpstr>
      <vt:lpstr>DM</vt:lpstr>
      <vt:lpstr>ONDIVELA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Cuperinox Albacete</dc:creator>
  <cp:keywords/>
  <dc:description/>
  <cp:lastModifiedBy>CUPERINOX SL</cp:lastModifiedBy>
  <cp:revision/>
  <dcterms:created xsi:type="dcterms:W3CDTF">2025-05-06T11:05:08Z</dcterms:created>
  <dcterms:modified xsi:type="dcterms:W3CDTF">2026-10-26T11:40:23Z</dcterms:modified>
  <cp:category/>
  <cp:contentStatus/>
</cp:coreProperties>
</file>