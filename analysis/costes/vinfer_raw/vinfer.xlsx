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9\compartida\VINFER-AMAZON\"/>
    </mc:Choice>
  </mc:AlternateContent>
  <xr:revisionPtr revIDLastSave="0" documentId="13_ncr:1_{FA9C125B-7B49-4826-8886-F24E4E43C6C6}" xr6:coauthVersionLast="47" xr6:coauthVersionMax="47" xr10:uidLastSave="{00000000-0000-0000-0000-000000000000}"/>
  <bookViews>
    <workbookView xWindow="-120" yWindow="-120" windowWidth="29040" windowHeight="15720" activeTab="1" xr2:uid="{907FACFD-2FCB-4B7B-BFED-7A70D8E5F886}"/>
  </bookViews>
  <sheets>
    <sheet name="MATON" sheetId="1" r:id="rId1"/>
    <sheet name="BIOLEAF" sheetId="6" r:id="rId2"/>
    <sheet name="ELVIRA" sheetId="7" r:id="rId3"/>
    <sheet name="WINS" sheetId="2" r:id="rId4"/>
    <sheet name="LA GARRAFITA" sheetId="3" r:id="rId5"/>
    <sheet name="PLIX" sheetId="4" r:id="rId6"/>
    <sheet name="PROFESIONAL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6" l="1"/>
  <c r="F19" i="6"/>
  <c r="F18" i="6"/>
  <c r="F17" i="6"/>
  <c r="F16" i="6"/>
  <c r="F15" i="6"/>
  <c r="F13" i="6"/>
  <c r="F12" i="6"/>
  <c r="F11" i="6"/>
  <c r="F10" i="6"/>
  <c r="E57" i="1"/>
  <c r="K57" i="1"/>
  <c r="N59" i="1"/>
  <c r="F3" i="3" l="1"/>
  <c r="E3" i="3"/>
  <c r="E58" i="1"/>
  <c r="M58" i="1" s="1"/>
  <c r="E56" i="1"/>
  <c r="M56" i="1" s="1"/>
  <c r="F57" i="1"/>
  <c r="I57" i="1" s="1"/>
  <c r="M57" i="1"/>
  <c r="B46" i="6"/>
  <c r="F56" i="1"/>
  <c r="F62" i="1"/>
  <c r="M62" i="1"/>
  <c r="F61" i="1"/>
  <c r="F60" i="1"/>
  <c r="M60" i="1"/>
  <c r="M59" i="1"/>
  <c r="F59" i="1"/>
  <c r="I59" i="1" s="1"/>
  <c r="J59" i="1" s="1"/>
  <c r="F58" i="1"/>
  <c r="L59" i="1" l="1"/>
  <c r="J57" i="1"/>
  <c r="L57" i="1" s="1"/>
  <c r="M61" i="1"/>
  <c r="I61" i="1"/>
  <c r="J61" i="1" s="1"/>
  <c r="L61" i="1" s="1"/>
  <c r="I56" i="1"/>
  <c r="J56" i="1" s="1"/>
  <c r="L56" i="1" s="1"/>
  <c r="I58" i="1"/>
  <c r="J58" i="1" s="1"/>
  <c r="L58" i="1" s="1"/>
  <c r="I60" i="1"/>
  <c r="J60" i="1" s="1"/>
  <c r="L60" i="1" s="1"/>
  <c r="I62" i="1"/>
  <c r="J62" i="1" s="1"/>
  <c r="L62" i="1" s="1"/>
  <c r="E6" i="6" l="1"/>
  <c r="E5" i="6"/>
  <c r="E4" i="6"/>
  <c r="E3" i="6"/>
  <c r="E15" i="6"/>
  <c r="F12" i="3" l="1"/>
  <c r="I12" i="3" s="1"/>
  <c r="J12" i="3" s="1"/>
  <c r="L12" i="3" s="1"/>
  <c r="F11" i="3"/>
  <c r="I11" i="3" s="1"/>
  <c r="J11" i="3" s="1"/>
  <c r="L11" i="3" s="1"/>
  <c r="F10" i="3"/>
  <c r="I10" i="3" s="1"/>
  <c r="J10" i="3" s="1"/>
  <c r="L10" i="3" s="1"/>
  <c r="F9" i="3"/>
  <c r="I9" i="3" s="1"/>
  <c r="J9" i="3" s="1"/>
  <c r="L9" i="3" s="1"/>
  <c r="F8" i="3"/>
  <c r="I8" i="3" s="1"/>
  <c r="J8" i="3" s="1"/>
  <c r="L8" i="3" s="1"/>
  <c r="F7" i="3"/>
  <c r="I7" i="3" s="1"/>
  <c r="J7" i="3" s="1"/>
  <c r="L7" i="3" s="1"/>
  <c r="F6" i="3"/>
  <c r="I6" i="3" s="1"/>
  <c r="J6" i="3" s="1"/>
  <c r="L6" i="3" s="1"/>
  <c r="F5" i="3"/>
  <c r="I5" i="3" s="1"/>
  <c r="J5" i="3" s="1"/>
  <c r="L5" i="3" s="1"/>
  <c r="F4" i="3"/>
  <c r="I4" i="3" s="1"/>
  <c r="J4" i="3" s="1"/>
  <c r="L4" i="3" s="1"/>
  <c r="E12" i="3"/>
  <c r="E11" i="3"/>
  <c r="E10" i="3"/>
  <c r="E9" i="3"/>
  <c r="E8" i="3"/>
  <c r="E7" i="3"/>
  <c r="E5" i="3"/>
  <c r="E4" i="3"/>
  <c r="E6" i="3"/>
  <c r="I3" i="3"/>
  <c r="J3" i="3" s="1"/>
  <c r="L3" i="3" s="1"/>
  <c r="E8" i="6"/>
  <c r="E7" i="6"/>
  <c r="H20" i="6" l="1"/>
  <c r="H19" i="6"/>
  <c r="H18" i="6"/>
  <c r="H17" i="6"/>
  <c r="H16" i="6"/>
  <c r="H15" i="6"/>
  <c r="F3" i="6"/>
  <c r="M15" i="6"/>
  <c r="F39" i="2"/>
  <c r="F37" i="2"/>
  <c r="F36" i="2"/>
  <c r="F35" i="2"/>
  <c r="F34" i="2"/>
  <c r="G35" i="2"/>
  <c r="G36" i="2"/>
  <c r="J36" i="2" s="1"/>
  <c r="N36" i="2"/>
  <c r="G37" i="2"/>
  <c r="J37" i="2" s="1"/>
  <c r="K37" i="2" s="1"/>
  <c r="N37" i="2"/>
  <c r="M37" i="2" l="1"/>
  <c r="J35" i="2"/>
  <c r="K36" i="2"/>
  <c r="M36" i="2" s="1"/>
  <c r="N35" i="2"/>
  <c r="K35" i="2" s="1"/>
  <c r="M35" i="2" s="1"/>
  <c r="F44" i="2" l="1"/>
  <c r="N44" i="2" s="1"/>
  <c r="F43" i="2"/>
  <c r="F42" i="2"/>
  <c r="N42" i="2" s="1"/>
  <c r="F41" i="2"/>
  <c r="N41" i="2" s="1"/>
  <c r="F40" i="2"/>
  <c r="N39" i="2"/>
  <c r="F45" i="2"/>
  <c r="G44" i="2"/>
  <c r="G43" i="2"/>
  <c r="N43" i="2"/>
  <c r="G42" i="2"/>
  <c r="G41" i="2"/>
  <c r="G40" i="2"/>
  <c r="N40" i="2"/>
  <c r="G39" i="2"/>
  <c r="N34" i="2"/>
  <c r="F33" i="2"/>
  <c r="N33" i="2" s="1"/>
  <c r="F32" i="2"/>
  <c r="F31" i="2"/>
  <c r="F23" i="2"/>
  <c r="F22" i="2"/>
  <c r="G34" i="2"/>
  <c r="G33" i="2"/>
  <c r="G32" i="2"/>
  <c r="G31" i="2"/>
  <c r="J32" i="2" l="1"/>
  <c r="N32" i="2"/>
  <c r="J34" i="2"/>
  <c r="J44" i="2"/>
  <c r="K44" i="2" s="1"/>
  <c r="M44" i="2" s="1"/>
  <c r="J43" i="2"/>
  <c r="K43" i="2" s="1"/>
  <c r="M43" i="2" s="1"/>
  <c r="J42" i="2"/>
  <c r="K42" i="2" s="1"/>
  <c r="M42" i="2" s="1"/>
  <c r="J41" i="2"/>
  <c r="K41" i="2" s="1"/>
  <c r="M41" i="2" s="1"/>
  <c r="J40" i="2"/>
  <c r="K40" i="2" s="1"/>
  <c r="M40" i="2" s="1"/>
  <c r="J39" i="2"/>
  <c r="K39" i="2" s="1"/>
  <c r="M39" i="2" s="1"/>
  <c r="K34" i="2"/>
  <c r="M34" i="2" s="1"/>
  <c r="J31" i="2"/>
  <c r="K31" i="2" s="1"/>
  <c r="M31" i="2" s="1"/>
  <c r="N31" i="2"/>
  <c r="J33" i="2"/>
  <c r="K33" i="2" s="1"/>
  <c r="M33" i="2" s="1"/>
  <c r="K32" i="2" l="1"/>
  <c r="M32" i="2" s="1"/>
  <c r="E35" i="6"/>
  <c r="M35" i="6" s="1"/>
  <c r="H37" i="6"/>
  <c r="F37" i="6"/>
  <c r="H36" i="6"/>
  <c r="F36" i="6"/>
  <c r="H35" i="6"/>
  <c r="F35" i="6"/>
  <c r="H34" i="6"/>
  <c r="F34" i="6"/>
  <c r="H33" i="6"/>
  <c r="F33" i="6"/>
  <c r="H32" i="6"/>
  <c r="F32" i="6"/>
  <c r="F28" i="6"/>
  <c r="F27" i="6"/>
  <c r="F26" i="6"/>
  <c r="F25" i="6"/>
  <c r="F24" i="6"/>
  <c r="F23" i="6"/>
  <c r="H28" i="6"/>
  <c r="H27" i="6"/>
  <c r="H26" i="6"/>
  <c r="H25" i="6"/>
  <c r="H24" i="6"/>
  <c r="H23" i="6"/>
  <c r="H13" i="6"/>
  <c r="H12" i="6"/>
  <c r="H11" i="6"/>
  <c r="H10" i="6"/>
  <c r="G22" i="2"/>
  <c r="N22" i="2"/>
  <c r="F27" i="2"/>
  <c r="N27" i="2" s="1"/>
  <c r="N23" i="2"/>
  <c r="G28" i="2"/>
  <c r="G27" i="2"/>
  <c r="G26" i="2"/>
  <c r="G25" i="2"/>
  <c r="G24" i="2"/>
  <c r="G23" i="2"/>
  <c r="F25" i="2"/>
  <c r="N25" i="2" s="1"/>
  <c r="F24" i="2"/>
  <c r="N24" i="2" s="1"/>
  <c r="F28" i="2"/>
  <c r="N28" i="2" s="1"/>
  <c r="F26" i="2"/>
  <c r="N26" i="2" s="1"/>
  <c r="F10" i="2"/>
  <c r="N10" i="2" s="1"/>
  <c r="N7" i="2"/>
  <c r="N20" i="2"/>
  <c r="F17" i="2"/>
  <c r="N17" i="2" s="1"/>
  <c r="F12" i="2"/>
  <c r="N12" i="2" s="1"/>
  <c r="F11" i="2"/>
  <c r="N11" i="2" s="1"/>
  <c r="F6" i="2"/>
  <c r="N6" i="2" s="1"/>
  <c r="F20" i="2"/>
  <c r="F19" i="2"/>
  <c r="N19" i="2" s="1"/>
  <c r="F16" i="2"/>
  <c r="N16" i="2" s="1"/>
  <c r="F15" i="2"/>
  <c r="N15" i="2" s="1"/>
  <c r="F9" i="2"/>
  <c r="N9" i="2" s="1"/>
  <c r="F7" i="2"/>
  <c r="F8" i="2"/>
  <c r="N8" i="2" s="1"/>
  <c r="F18" i="2"/>
  <c r="N18" i="2" s="1"/>
  <c r="F14" i="2"/>
  <c r="N14" i="2" s="1"/>
  <c r="G12" i="2"/>
  <c r="G11" i="2"/>
  <c r="J11" i="2" s="1"/>
  <c r="G10" i="2"/>
  <c r="G17" i="2"/>
  <c r="G6" i="2"/>
  <c r="G20" i="2"/>
  <c r="G19" i="2"/>
  <c r="G16" i="2"/>
  <c r="J16" i="2" s="1"/>
  <c r="G15" i="2"/>
  <c r="G9" i="2"/>
  <c r="J9" i="2" s="1"/>
  <c r="G8" i="2"/>
  <c r="F3" i="2"/>
  <c r="N3" i="2" s="1"/>
  <c r="F13" i="2"/>
  <c r="N13" i="2" s="1"/>
  <c r="F5" i="2"/>
  <c r="N5" i="2" s="1"/>
  <c r="F4" i="2"/>
  <c r="N4" i="2" s="1"/>
  <c r="I35" i="6" l="1"/>
  <c r="J35" i="6" s="1"/>
  <c r="L35" i="6" s="1"/>
  <c r="J25" i="2"/>
  <c r="K25" i="2" s="1"/>
  <c r="M25" i="2" s="1"/>
  <c r="J17" i="2"/>
  <c r="K17" i="2" s="1"/>
  <c r="M17" i="2" s="1"/>
  <c r="J27" i="2"/>
  <c r="K27" i="2" s="1"/>
  <c r="M27" i="2" s="1"/>
  <c r="J23" i="2"/>
  <c r="K23" i="2" s="1"/>
  <c r="M23" i="2" s="1"/>
  <c r="J24" i="2"/>
  <c r="K24" i="2" s="1"/>
  <c r="M24" i="2" s="1"/>
  <c r="J28" i="2"/>
  <c r="K28" i="2" s="1"/>
  <c r="M28" i="2" s="1"/>
  <c r="J26" i="2"/>
  <c r="K26" i="2" s="1"/>
  <c r="M26" i="2" s="1"/>
  <c r="J22" i="2"/>
  <c r="K22" i="2" s="1"/>
  <c r="M22" i="2" s="1"/>
  <c r="J10" i="2"/>
  <c r="K10" i="2" s="1"/>
  <c r="M10" i="2" s="1"/>
  <c r="K16" i="2"/>
  <c r="M16" i="2" s="1"/>
  <c r="K9" i="2"/>
  <c r="M9" i="2" s="1"/>
  <c r="K11" i="2"/>
  <c r="M11" i="2" s="1"/>
  <c r="J12" i="2"/>
  <c r="K12" i="2" s="1"/>
  <c r="M12" i="2" s="1"/>
  <c r="J6" i="2"/>
  <c r="K6" i="2" s="1"/>
  <c r="M6" i="2" s="1"/>
  <c r="J20" i="2"/>
  <c r="K20" i="2" s="1"/>
  <c r="M20" i="2" s="1"/>
  <c r="J19" i="2"/>
  <c r="K19" i="2" s="1"/>
  <c r="M19" i="2" s="1"/>
  <c r="J15" i="2"/>
  <c r="K15" i="2" s="1"/>
  <c r="M15" i="2" s="1"/>
  <c r="J8" i="2"/>
  <c r="K8" i="2" s="1"/>
  <c r="M8" i="2" s="1"/>
  <c r="F41" i="1"/>
  <c r="H40" i="1"/>
  <c r="F40" i="1"/>
  <c r="E40" i="1"/>
  <c r="M40" i="1" s="1"/>
  <c r="G7" i="2"/>
  <c r="G18" i="2"/>
  <c r="G3" i="2"/>
  <c r="J3" i="2" s="1"/>
  <c r="G14" i="2"/>
  <c r="J14" i="2"/>
  <c r="G13" i="2"/>
  <c r="J13" i="2" s="1"/>
  <c r="G5" i="2"/>
  <c r="G4" i="2"/>
  <c r="E26" i="6"/>
  <c r="F8" i="6"/>
  <c r="F7" i="6"/>
  <c r="F6" i="6"/>
  <c r="F5" i="6"/>
  <c r="F4" i="6"/>
  <c r="I40" i="1" l="1"/>
  <c r="J40" i="1" s="1"/>
  <c r="L40" i="1" s="1"/>
  <c r="J4" i="2"/>
  <c r="J7" i="2"/>
  <c r="K3" i="2"/>
  <c r="M3" i="2" s="1"/>
  <c r="K13" i="2"/>
  <c r="M13" i="2" s="1"/>
  <c r="J5" i="2"/>
  <c r="E18" i="6"/>
  <c r="M19" i="6" s="1"/>
  <c r="E17" i="6"/>
  <c r="M18" i="6" s="1"/>
  <c r="E19" i="6"/>
  <c r="M20" i="6" l="1"/>
  <c r="I19" i="6"/>
  <c r="J19" i="6" s="1"/>
  <c r="L19" i="6" s="1"/>
  <c r="E10" i="6"/>
  <c r="E16" i="6"/>
  <c r="I15" i="6"/>
  <c r="E20" i="6"/>
  <c r="I20" i="6" s="1"/>
  <c r="J20" i="6" s="1"/>
  <c r="L20" i="6" s="1"/>
  <c r="E36" i="6"/>
  <c r="E27" i="6"/>
  <c r="M27" i="6" s="1"/>
  <c r="E13" i="6"/>
  <c r="I13" i="6" s="1"/>
  <c r="E33" i="6"/>
  <c r="E32" i="6"/>
  <c r="E23" i="6"/>
  <c r="I23" i="6" s="1"/>
  <c r="E37" i="6"/>
  <c r="E28" i="6"/>
  <c r="M28" i="6" s="1"/>
  <c r="M4" i="6"/>
  <c r="M8" i="6"/>
  <c r="E25" i="6"/>
  <c r="M25" i="6" s="1"/>
  <c r="E34" i="6"/>
  <c r="K5" i="2"/>
  <c r="M5" i="2" s="1"/>
  <c r="K7" i="2"/>
  <c r="M7" i="2" s="1"/>
  <c r="K14" i="2"/>
  <c r="M14" i="2" s="1"/>
  <c r="K4" i="2"/>
  <c r="M4" i="2" s="1"/>
  <c r="J18" i="2"/>
  <c r="K18" i="2" s="1"/>
  <c r="M18" i="2" s="1"/>
  <c r="M5" i="6"/>
  <c r="M7" i="6"/>
  <c r="E24" i="6"/>
  <c r="M24" i="6" s="1"/>
  <c r="M26" i="6"/>
  <c r="M6" i="6"/>
  <c r="M3" i="6"/>
  <c r="I26" i="6"/>
  <c r="J15" i="6" l="1"/>
  <c r="L15" i="6" s="1"/>
  <c r="M16" i="6"/>
  <c r="M17" i="6"/>
  <c r="I27" i="6"/>
  <c r="J27" i="6" s="1"/>
  <c r="L27" i="6" s="1"/>
  <c r="M37" i="6"/>
  <c r="I37" i="6"/>
  <c r="M32" i="6"/>
  <c r="I32" i="6"/>
  <c r="J32" i="6" s="1"/>
  <c r="L32" i="6" s="1"/>
  <c r="M23" i="6"/>
  <c r="J23" i="6" s="1"/>
  <c r="L23" i="6" s="1"/>
  <c r="I28" i="6"/>
  <c r="J28" i="6" s="1"/>
  <c r="L28" i="6" s="1"/>
  <c r="J26" i="6"/>
  <c r="L26" i="6" s="1"/>
  <c r="M33" i="6"/>
  <c r="I33" i="6"/>
  <c r="I25" i="6"/>
  <c r="J25" i="6" s="1"/>
  <c r="L25" i="6" s="1"/>
  <c r="M34" i="6"/>
  <c r="I34" i="6"/>
  <c r="M36" i="6"/>
  <c r="I36" i="6"/>
  <c r="I24" i="6"/>
  <c r="J24" i="6" s="1"/>
  <c r="L24" i="6" s="1"/>
  <c r="J33" i="6" l="1"/>
  <c r="L33" i="6" s="1"/>
  <c r="J36" i="6"/>
  <c r="L36" i="6" s="1"/>
  <c r="J37" i="6"/>
  <c r="L37" i="6" s="1"/>
  <c r="J34" i="6"/>
  <c r="L34" i="6" s="1"/>
  <c r="F50" i="1"/>
  <c r="F49" i="1"/>
  <c r="F48" i="1"/>
  <c r="F47" i="1"/>
  <c r="E47" i="1"/>
  <c r="M47" i="1" s="1"/>
  <c r="F46" i="1"/>
  <c r="E46" i="1"/>
  <c r="F45" i="1"/>
  <c r="E45" i="1"/>
  <c r="E48" i="1" s="1"/>
  <c r="F44" i="1"/>
  <c r="E44" i="1"/>
  <c r="F7" i="7"/>
  <c r="F6" i="7"/>
  <c r="F5" i="7"/>
  <c r="E5" i="7"/>
  <c r="F4" i="7"/>
  <c r="E4" i="7"/>
  <c r="F3" i="7"/>
  <c r="I3" i="7" s="1"/>
  <c r="J3" i="7" s="1"/>
  <c r="L3" i="7" s="1"/>
  <c r="E3" i="7"/>
  <c r="E7" i="7" s="1"/>
  <c r="M10" i="6"/>
  <c r="E11" i="6"/>
  <c r="I16" i="6" s="1"/>
  <c r="J16" i="6" s="1"/>
  <c r="L16" i="6" s="1"/>
  <c r="E12" i="6"/>
  <c r="I3" i="6"/>
  <c r="I4" i="6"/>
  <c r="J4" i="6" s="1"/>
  <c r="L4" i="6" s="1"/>
  <c r="I5" i="6"/>
  <c r="I6" i="6"/>
  <c r="I7" i="6"/>
  <c r="I8" i="6"/>
  <c r="I46" i="1" l="1"/>
  <c r="I44" i="1"/>
  <c r="I17" i="6"/>
  <c r="J17" i="6" s="1"/>
  <c r="L17" i="6" s="1"/>
  <c r="I18" i="6"/>
  <c r="J18" i="6" s="1"/>
  <c r="L18" i="6" s="1"/>
  <c r="I7" i="7"/>
  <c r="J7" i="7" s="1"/>
  <c r="L7" i="7" s="1"/>
  <c r="I5" i="7"/>
  <c r="J5" i="7" s="1"/>
  <c r="L5" i="7" s="1"/>
  <c r="I4" i="7"/>
  <c r="J4" i="7" s="1"/>
  <c r="L4" i="7" s="1"/>
  <c r="I47" i="1"/>
  <c r="J8" i="6"/>
  <c r="L8" i="6" s="1"/>
  <c r="J5" i="6"/>
  <c r="L5" i="6" s="1"/>
  <c r="I12" i="6"/>
  <c r="M13" i="6"/>
  <c r="J13" i="6" s="1"/>
  <c r="L13" i="6" s="1"/>
  <c r="J7" i="6"/>
  <c r="L7" i="6" s="1"/>
  <c r="J3" i="6"/>
  <c r="L3" i="6" s="1"/>
  <c r="J6" i="6"/>
  <c r="L6" i="6" s="1"/>
  <c r="I11" i="6"/>
  <c r="M11" i="6"/>
  <c r="M12" i="6"/>
  <c r="I10" i="6"/>
  <c r="M45" i="1"/>
  <c r="M46" i="1"/>
  <c r="J46" i="1" s="1"/>
  <c r="L46" i="1" s="1"/>
  <c r="I48" i="1"/>
  <c r="J47" i="1"/>
  <c r="L47" i="1" s="1"/>
  <c r="M48" i="1"/>
  <c r="J48" i="1"/>
  <c r="L48" i="1" s="1"/>
  <c r="M44" i="1"/>
  <c r="J44" i="1" s="1"/>
  <c r="L44" i="1" s="1"/>
  <c r="E49" i="1"/>
  <c r="I45" i="1"/>
  <c r="E50" i="1"/>
  <c r="E6" i="7"/>
  <c r="I6" i="7" s="1"/>
  <c r="J6" i="7" s="1"/>
  <c r="L6" i="7" s="1"/>
  <c r="J12" i="6" l="1"/>
  <c r="L12" i="6" s="1"/>
  <c r="J10" i="6"/>
  <c r="L10" i="6" s="1"/>
  <c r="J11" i="6"/>
  <c r="L11" i="6" s="1"/>
  <c r="J45" i="1"/>
  <c r="L45" i="1" s="1"/>
  <c r="I50" i="1"/>
  <c r="M50" i="1"/>
  <c r="I49" i="1"/>
  <c r="M49" i="1"/>
  <c r="J49" i="1" l="1"/>
  <c r="L49" i="1" s="1"/>
  <c r="J50" i="1"/>
  <c r="L50" i="1" s="1"/>
  <c r="M41" i="1" l="1"/>
  <c r="H41" i="1"/>
  <c r="I41" i="1" l="1"/>
  <c r="J41" i="1" l="1"/>
  <c r="L41" i="1" s="1"/>
  <c r="F30" i="1"/>
  <c r="F39" i="1"/>
  <c r="F38" i="1"/>
  <c r="F37" i="1"/>
  <c r="F36" i="1"/>
  <c r="F35" i="1"/>
  <c r="F34" i="1"/>
  <c r="F33" i="1"/>
  <c r="F32" i="1"/>
  <c r="F31" i="1"/>
  <c r="H39" i="1"/>
  <c r="H38" i="1"/>
  <c r="H37" i="1"/>
  <c r="H36" i="1"/>
  <c r="H35" i="1"/>
  <c r="H34" i="1"/>
  <c r="H33" i="1"/>
  <c r="H32" i="1"/>
  <c r="H31" i="1"/>
  <c r="H30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M39" i="1" l="1"/>
  <c r="I39" i="1"/>
  <c r="J39" i="1" s="1"/>
  <c r="L39" i="1" l="1"/>
  <c r="E2" i="1" l="1"/>
  <c r="P9" i="1"/>
  <c r="Q9" i="1" s="1"/>
  <c r="R9" i="1" s="1"/>
  <c r="P10" i="1"/>
  <c r="Q10" i="1" s="1"/>
  <c r="R10" i="1" s="1"/>
  <c r="R11" i="1" l="1"/>
  <c r="E30" i="1"/>
  <c r="M30" i="1" s="1"/>
  <c r="M2" i="1"/>
  <c r="E13" i="1"/>
  <c r="M13" i="1" s="1"/>
  <c r="E37" i="1"/>
  <c r="M37" i="1" s="1"/>
  <c r="E19" i="1" l="1"/>
  <c r="M19" i="1" s="1"/>
  <c r="E18" i="1"/>
  <c r="M18" i="1" s="1"/>
  <c r="E17" i="1"/>
  <c r="M17" i="1" s="1"/>
  <c r="E16" i="1"/>
  <c r="M16" i="1" s="1"/>
  <c r="E15" i="1"/>
  <c r="M15" i="1" s="1"/>
  <c r="E14" i="1"/>
  <c r="M14" i="1" s="1"/>
  <c r="I37" i="1"/>
  <c r="E12" i="1"/>
  <c r="E11" i="1"/>
  <c r="E10" i="1"/>
  <c r="E9" i="1"/>
  <c r="E8" i="1"/>
  <c r="E7" i="1"/>
  <c r="M7" i="1" s="1"/>
  <c r="E5" i="1"/>
  <c r="E4" i="1"/>
  <c r="E3" i="1"/>
  <c r="M3" i="1" s="1"/>
  <c r="I30" i="1"/>
  <c r="E34" i="1" l="1"/>
  <c r="M9" i="1"/>
  <c r="E33" i="1"/>
  <c r="M11" i="1"/>
  <c r="E36" i="1"/>
  <c r="M10" i="1"/>
  <c r="E31" i="1"/>
  <c r="M4" i="1"/>
  <c r="M5" i="1"/>
  <c r="E32" i="1"/>
  <c r="E35" i="1"/>
  <c r="M12" i="1"/>
  <c r="M8" i="1"/>
  <c r="J30" i="1"/>
  <c r="L30" i="1" s="1"/>
  <c r="J37" i="1"/>
  <c r="L37" i="1" s="1"/>
  <c r="E6" i="1"/>
  <c r="E23" i="1"/>
  <c r="I11" i="1"/>
  <c r="I10" i="1"/>
  <c r="I8" i="1"/>
  <c r="I9" i="1"/>
  <c r="I12" i="1"/>
  <c r="I14" i="1"/>
  <c r="I15" i="1"/>
  <c r="I16" i="1"/>
  <c r="I19" i="1"/>
  <c r="I18" i="1"/>
  <c r="I17" i="1"/>
  <c r="I13" i="1"/>
  <c r="I7" i="1"/>
  <c r="I5" i="1"/>
  <c r="I4" i="1"/>
  <c r="I3" i="1"/>
  <c r="I2" i="1"/>
  <c r="J11" i="1" l="1"/>
  <c r="L11" i="1" s="1"/>
  <c r="I32" i="1"/>
  <c r="M32" i="1"/>
  <c r="I23" i="1"/>
  <c r="M23" i="1"/>
  <c r="J17" i="1"/>
  <c r="L17" i="1" s="1"/>
  <c r="M21" i="1"/>
  <c r="M6" i="1"/>
  <c r="J16" i="1"/>
  <c r="L16" i="1" s="1"/>
  <c r="I31" i="1"/>
  <c r="M31" i="1"/>
  <c r="J15" i="1"/>
  <c r="L15" i="1" s="1"/>
  <c r="J14" i="1"/>
  <c r="L14" i="1" s="1"/>
  <c r="J2" i="1"/>
  <c r="L2" i="1" s="1"/>
  <c r="I33" i="1"/>
  <c r="M33" i="1"/>
  <c r="J13" i="1"/>
  <c r="L13" i="1" s="1"/>
  <c r="J18" i="1"/>
  <c r="L18" i="1" s="1"/>
  <c r="J12" i="1"/>
  <c r="L12" i="1" s="1"/>
  <c r="E38" i="1"/>
  <c r="J7" i="1"/>
  <c r="L7" i="1" s="1"/>
  <c r="I35" i="1"/>
  <c r="M35" i="1"/>
  <c r="J19" i="1"/>
  <c r="L19" i="1" s="1"/>
  <c r="I36" i="1"/>
  <c r="M36" i="1"/>
  <c r="J3" i="1"/>
  <c r="L3" i="1" s="1"/>
  <c r="J9" i="1"/>
  <c r="L9" i="1" s="1"/>
  <c r="J4" i="1"/>
  <c r="L4" i="1" s="1"/>
  <c r="J8" i="1"/>
  <c r="L8" i="1" s="1"/>
  <c r="J5" i="1"/>
  <c r="L5" i="1" s="1"/>
  <c r="J10" i="1"/>
  <c r="L10" i="1" s="1"/>
  <c r="I34" i="1"/>
  <c r="M34" i="1"/>
  <c r="E22" i="1"/>
  <c r="I6" i="1"/>
  <c r="E24" i="1"/>
  <c r="E20" i="1"/>
  <c r="J36" i="1" l="1"/>
  <c r="L36" i="1" s="1"/>
  <c r="I24" i="1"/>
  <c r="M24" i="1"/>
  <c r="J33" i="1"/>
  <c r="L33" i="1" s="1"/>
  <c r="I22" i="1"/>
  <c r="M22" i="1"/>
  <c r="J32" i="1"/>
  <c r="L32" i="1" s="1"/>
  <c r="M38" i="1"/>
  <c r="I38" i="1"/>
  <c r="J38" i="1" s="1"/>
  <c r="L38" i="1" s="1"/>
  <c r="J23" i="1"/>
  <c r="L23" i="1" s="1"/>
  <c r="J34" i="1"/>
  <c r="L34" i="1" s="1"/>
  <c r="I20" i="1"/>
  <c r="M20" i="1"/>
  <c r="J35" i="1"/>
  <c r="L35" i="1" s="1"/>
  <c r="J6" i="1"/>
  <c r="L6" i="1" s="1"/>
  <c r="I21" i="1"/>
  <c r="J21" i="1" s="1"/>
  <c r="L21" i="1" s="1"/>
  <c r="J31" i="1"/>
  <c r="L31" i="1" s="1"/>
  <c r="J20" i="1" l="1"/>
  <c r="L20" i="1" s="1"/>
  <c r="J22" i="1"/>
  <c r="L22" i="1" s="1"/>
  <c r="J24" i="1"/>
  <c r="L24" i="1" s="1"/>
</calcChain>
</file>

<file path=xl/sharedStrings.xml><?xml version="1.0" encoding="utf-8"?>
<sst xmlns="http://schemas.openxmlformats.org/spreadsheetml/2006/main" count="401" uniqueCount="237">
  <si>
    <t>REF.</t>
  </si>
  <si>
    <t xml:space="preserve">COSTE </t>
  </si>
  <si>
    <t>15% AMZON</t>
  </si>
  <si>
    <t>ENVÍO</t>
  </si>
  <si>
    <t>IVA</t>
  </si>
  <si>
    <t>Coste final</t>
  </si>
  <si>
    <t>Margen</t>
  </si>
  <si>
    <t>PVP</t>
  </si>
  <si>
    <t>%Margen</t>
  </si>
  <si>
    <t>EAN</t>
  </si>
  <si>
    <t>Título</t>
  </si>
  <si>
    <t>INSECTICIDA SPRAY POLILLAS,
ACAROS, CHINCHES 300ML MATON</t>
  </si>
  <si>
    <t>VIOLETA_POLILLAS+ACAROS+CHINCHES</t>
  </si>
  <si>
    <t>INSECTICIDA SPRAY
VINFERMATON 300ML</t>
  </si>
  <si>
    <t>INSECTICIDA SPRAY CUCAS 300ML</t>
  </si>
  <si>
    <t>AZUL_MATÓN</t>
  </si>
  <si>
    <t>ROJO_CUCAS</t>
  </si>
  <si>
    <t>CDAD</t>
  </si>
  <si>
    <t>300ML</t>
  </si>
  <si>
    <t>INSECTICIDA SPRAY AVISPAS 400ML MATON</t>
  </si>
  <si>
    <t>400ML</t>
  </si>
  <si>
    <t>AMARILLO_AVISPAS</t>
  </si>
  <si>
    <t>INSECTICIDA SPRAY
AVISPAS 600ML MATON</t>
  </si>
  <si>
    <t>600ML</t>
  </si>
  <si>
    <t>AMARILLO_AVISPAS+GRANDE</t>
  </si>
  <si>
    <t>INSECTICIDA SPRAY RESIDUAL 400ML VINFERMATON</t>
  </si>
  <si>
    <t>INSECTICIDA SPRAY VINFERMATON RAPID 600ML</t>
  </si>
  <si>
    <t>INSECTICIDA SPRAY CASA 600ML MATON</t>
  </si>
  <si>
    <t>INSECTICIDA SPRAY CUCAS 600ML MATON</t>
  </si>
  <si>
    <t>INSECTICIDA SPRAY SIN OLOR 600ML MATON</t>
  </si>
  <si>
    <t>INSECTICIDA SPRAY MULTI-INSECTOS 600ML</t>
  </si>
  <si>
    <t>INSECTICIDA SPRAY RESIDUAL 600ML MATON</t>
  </si>
  <si>
    <t>LIMPIADOR INSECTICIDA
1L MATON</t>
  </si>
  <si>
    <t>1L</t>
  </si>
  <si>
    <t>INSECTICIDA SPRAY SUELOS
DOBLE ACCION 750ML MATON</t>
  </si>
  <si>
    <t>750ML</t>
  </si>
  <si>
    <t>INSECTICIDA SPRAY
VINFERMATON 750ML</t>
  </si>
  <si>
    <t>300ML*3</t>
  </si>
  <si>
    <t>PONER EAN</t>
  </si>
  <si>
    <t>INSECTICIDA SPRAY CUCAS 300ML*3</t>
  </si>
  <si>
    <t>ROJO_CUCAS+PACK3</t>
  </si>
  <si>
    <t>INSECTICIDA SPRAY AVISPAS 400ML MATON*3</t>
  </si>
  <si>
    <t>400ML*3</t>
  </si>
  <si>
    <t>PACK 2 MATON+2 AVISPAS+ 2 CUCAS</t>
  </si>
  <si>
    <t>300ML*6</t>
  </si>
  <si>
    <t>PACK MATON+AVISPAS+CUCAS</t>
  </si>
  <si>
    <t>PACK 2 AVISPAS</t>
  </si>
  <si>
    <t>PACK 2 AVISPAS 600ML</t>
  </si>
  <si>
    <t>PACK 2 RAPID 600ML</t>
  </si>
  <si>
    <t>PACK 3 VINCARE</t>
  </si>
  <si>
    <t>PACK 3 UD RAPID 300ML</t>
  </si>
  <si>
    <t>PACK 2 MULTINSECTOS 600ML</t>
  </si>
  <si>
    <t>PACK 2 CUCAS 600ML</t>
  </si>
  <si>
    <t>PACK 2 RESIDUAL 600ML</t>
  </si>
  <si>
    <t>PACK 2 CASA 600ML</t>
  </si>
  <si>
    <t>PACK 2 SIN OLOR 600ML</t>
  </si>
  <si>
    <t>PACK 3 INSECTICIDA SPRAY POLILLAS,
ACAROS, CHINCHES 300ML MATON</t>
  </si>
  <si>
    <t>PACK 3INSECTICIDA SPRAY CUCAS 300ML</t>
  </si>
  <si>
    <t>PACK 2 RESIDUAL 400ML</t>
  </si>
  <si>
    <t>V6012</t>
  </si>
  <si>
    <t>V0012</t>
  </si>
  <si>
    <t>V0011</t>
  </si>
  <si>
    <t>V0009</t>
  </si>
  <si>
    <t>V0013</t>
  </si>
  <si>
    <t>V1612_PACK2</t>
  </si>
  <si>
    <t>V0013_PACK2</t>
  </si>
  <si>
    <t>V0012_PACK2</t>
  </si>
  <si>
    <t>V9090</t>
  </si>
  <si>
    <t>PACK  2 MATON600ML+2 AVISPAS 600ML+ 2 CUCAS 600ML</t>
  </si>
  <si>
    <t>XPARTAN</t>
  </si>
  <si>
    <t>IVA COMPRA</t>
  </si>
  <si>
    <t>REPELENTE</t>
  </si>
  <si>
    <t>BIOLEAF</t>
  </si>
  <si>
    <t>DESINCRUSTANTE</t>
  </si>
  <si>
    <t>GEL WC</t>
  </si>
  <si>
    <t xml:space="preserve">DESENGRASANTE </t>
  </si>
  <si>
    <t>LAVAVAJILLAS</t>
  </si>
  <si>
    <t>MULTIUSOS</t>
  </si>
  <si>
    <t>LIMPIACRISTALES</t>
  </si>
  <si>
    <t>PACK BAÑO (DESINCRUSTANTE + GEL WC</t>
  </si>
  <si>
    <t>PACK COCINA  ( DESENGRASANTE +LAVAVAJILLAS</t>
  </si>
  <si>
    <t>PACK LIMPIEZA TOTAL (MULTIUSOS+LIMPIACRIST)</t>
  </si>
  <si>
    <t>PACKS</t>
  </si>
  <si>
    <t>ELVIRA</t>
  </si>
  <si>
    <t>LACA FIJACION EXTREMA 400ML</t>
  </si>
  <si>
    <t>LACA FIJACION NORMAL 400ML</t>
  </si>
  <si>
    <t>ELVIRA RIZOS DE ENCANTO 300ML</t>
  </si>
  <si>
    <t>PACK 3 ELVIRA</t>
  </si>
  <si>
    <t>PACK LACA EXTREMA + NORMAL</t>
  </si>
  <si>
    <t>1,2L</t>
  </si>
  <si>
    <t>800ML</t>
  </si>
  <si>
    <t>ELÉCTRICOS MATÓN</t>
  </si>
  <si>
    <t>INSECTICIDA ELECTRICO RECAMBIO MATÓN</t>
  </si>
  <si>
    <t xml:space="preserve">INSECTICIDA ELECTRICO APARATO + 10 PASTILLAS </t>
  </si>
  <si>
    <t>RECAMBIO 15 PASTILLAS MATON</t>
  </si>
  <si>
    <t>RECAMBIO 30 PASTILLAS MATON</t>
  </si>
  <si>
    <t>PACK APARATO ELECTRICO + 40 PASTILLAS</t>
  </si>
  <si>
    <t>PACK APARATO ELECTRICO + 70 PASTILLAS</t>
  </si>
  <si>
    <t>PACK APARATO ELECTRICO + 100 PASTILLAS</t>
  </si>
  <si>
    <t>PACKS MATÓN</t>
  </si>
  <si>
    <t>PACK 4 MULTIUSOS</t>
  </si>
  <si>
    <t>PACK 4 DESENGRASANTES</t>
  </si>
  <si>
    <t>PACK 4 GEL WC</t>
  </si>
  <si>
    <t>MEDIDAS</t>
  </si>
  <si>
    <t>11,5X6X27,8</t>
  </si>
  <si>
    <t>PESO</t>
  </si>
  <si>
    <t>1,5L</t>
  </si>
  <si>
    <t>TÍTULO</t>
  </si>
  <si>
    <t>3L</t>
  </si>
  <si>
    <t>815g</t>
  </si>
  <si>
    <t>CATEGORÍA</t>
  </si>
  <si>
    <t>PACK 4 LIMPIACRISTALES</t>
  </si>
  <si>
    <t>PACK 4 DESINCRUSTANTE</t>
  </si>
  <si>
    <t>PACK 4 LAVAVAJILLAS</t>
  </si>
  <si>
    <t>BP</t>
  </si>
  <si>
    <t>30X15X9</t>
  </si>
  <si>
    <t>1,77kg</t>
  </si>
  <si>
    <t>PACK LIMPIEZA HOME (MULTIUSOS+DESENGRASANTE)</t>
  </si>
  <si>
    <t>6,6kg</t>
  </si>
  <si>
    <t>ver</t>
  </si>
  <si>
    <t>XPARTANx2</t>
  </si>
  <si>
    <t>WINS</t>
  </si>
  <si>
    <t>W002</t>
  </si>
  <si>
    <t>W003</t>
  </si>
  <si>
    <t>W012</t>
  </si>
  <si>
    <t>W013</t>
  </si>
  <si>
    <t>W001</t>
  </si>
  <si>
    <t>W020</t>
  </si>
  <si>
    <t>W005</t>
  </si>
  <si>
    <t>W006</t>
  </si>
  <si>
    <t>W007</t>
  </si>
  <si>
    <t>W017</t>
  </si>
  <si>
    <t>W018</t>
  </si>
  <si>
    <t>W021</t>
  </si>
  <si>
    <t>W022</t>
  </si>
  <si>
    <t>W004</t>
  </si>
  <si>
    <t>W019</t>
  </si>
  <si>
    <t>W008</t>
  </si>
  <si>
    <t>W009</t>
  </si>
  <si>
    <t>W010</t>
  </si>
  <si>
    <t>5L</t>
  </si>
  <si>
    <t>IVA2</t>
  </si>
  <si>
    <t>CONCENTRADOS</t>
  </si>
  <si>
    <t>250ML</t>
  </si>
  <si>
    <t>WC001</t>
  </si>
  <si>
    <t>WC004</t>
  </si>
  <si>
    <t>AMBIENTADOR FLORAL</t>
  </si>
  <si>
    <t>WC007</t>
  </si>
  <si>
    <t>WC009</t>
  </si>
  <si>
    <t>WC010</t>
  </si>
  <si>
    <t>WC017</t>
  </si>
  <si>
    <t>WC018</t>
  </si>
  <si>
    <t>SKU</t>
  </si>
  <si>
    <t>L451250004</t>
  </si>
  <si>
    <t>L451250002</t>
  </si>
  <si>
    <t>L451250003</t>
  </si>
  <si>
    <t>L451250005</t>
  </si>
  <si>
    <t>L431250001</t>
  </si>
  <si>
    <t>A401250000</t>
  </si>
  <si>
    <t>A401250001</t>
  </si>
  <si>
    <t>PRODUCTOS DE LIMPIEZA PARA EL HOGAR</t>
  </si>
  <si>
    <t>FREGASUELOS COMERCIALES</t>
  </si>
  <si>
    <t>AMBIENTADORES DE HOGAR</t>
  </si>
  <si>
    <t>LIMPIADOR FLORAL</t>
  </si>
  <si>
    <t>AMBIENTADOR MARINO</t>
  </si>
  <si>
    <t>MULTIUSOS CONCENTRADO</t>
  </si>
  <si>
    <t>LIMPIADOR AMONIACAL CONCENTRADO PINO</t>
  </si>
  <si>
    <t>LIMPIADOR MAGNOLIA</t>
  </si>
  <si>
    <t>TITULO</t>
  </si>
  <si>
    <t>DESCRIPCION</t>
  </si>
  <si>
    <t>KW</t>
  </si>
  <si>
    <t>FÓRMULA CONCENTRADA 5 L EN 250 ML – Ahorra espacio y plástico. Cada envase equivale a una garrafa de 5 L lista para usar tras diluir con agua.
LIMPIEZA PROFESIONAL CON AMONÍACO – Elimina grasa, suciedad y manchas difíciles en suelos, azulejos, cocinas y baños.
ALTO RENDIMIENTO Y BRILLO INSTANTÁNEO – Potente acción limpiadora que deja las superficies limpias y relucientes.
IDEAL PARA HOGAR Y USO PROFESIONAL – Perfecto para hostelería, oficinas o limpieza doméstica profunda.
FÁCIL DE USAR Y ECOLÓGICO – Solo tienes que añadir 250 ml a 4,75 L de agua, agitar y listo. Reduce envases y residuos.</t>
  </si>
  <si>
    <t>El Limpiador Amoniacal Concentrado WINS de Vinfer Laboratorios ofrece toda la eficacia profesional en formato compacto de 250 ml.
Su fórmula concentrada con amoníaco elimina eficazmente la grasa y la suciedad más incrustada, aportando brillo y limpieza en profundidad a cocinas, suelos, azulejos y baños.
Un solo envase equivale a 5 litros de producto tradicional, lo que reduce el consumo de plástico y facilita el almacenamiento.
Perfecto tanto para el hogar como para profesionales de la limpieza, WINS combina rendimiento, sostenibilidad y tecnología de laboratorio para ofrecer resultados impecables con cada uso.
👉 Modo de empleo: Llena una garrafa con 4,75 L de agua, vierte el contenido del envase completo y mezcla bien. Obtendrás 5 L de limpiador amoniacal listo para usar.</t>
  </si>
  <si>
    <t>limpiador amoniacal concentrado, limpiador profesional 250ml, amoniaco limpieza suelos cocina baño, desengrasante potente hogar, limpiador vinfer wins, concentrado limpieza ecológico, limpiador multisuperficie amoniacal, limpieza profunda profesional, amoniaco concentrado 5 litros, limpiador amoniaco concentrado vinfer</t>
  </si>
  <si>
    <t>WINS  – Limpiador Floral Profesional 250 ml | Equivale a 5 L | Aroma Duradero y Fresco | Limpieza Multiusos para Hogar, Suelos y Superficies | Vinfer Laboratorios</t>
  </si>
  <si>
    <t>FORMATO CONCENTRADO 5 L EN 250 ML – Ahorra espacio y residuos: cada botella genera 5 litros de producto listo para usar tras diluir con agua.
AROMA FLORAL DURADERO – Deja un agradable y fresco perfume que se mantiene durante horas en el ambiente.
LIMPIEZA EFICAZ Y BRILLO NATURAL – Elimina suciedad, polvo y restos del día a día dejando las superficies limpias y relucientes.
IDEAL PARA TODO TIPO DE SUPERFICIES – Apto para suelos, azulejos, encimeras, baños y zonas comunes del hogar o negocio.
TECNOLOGÍA VINFER LABORATORIOS – Fórmula desarrollada en laboratorio con alta concentración de activos limpiadores para resultados profesionales.</t>
  </si>
  <si>
    <t>El Limpiador Floral Concentrado WINS de Vinfer Laboratorios combina una potente acción limpiadora con un aroma floral fresco y duradero.
Su fórmula concentrada permite preparar 5 litros de limpiador multiusos a partir de una sola botella de 250 ml, garantizando un uso prolongado, económico y respetuoso con el medio ambiente.
Ideal para suelos, cocinas, baños o superficies del hogar y del entorno profesional, ofrece limpieza profunda, brillo natural y un perfume agradable que transforma cualquier espacio.
Solo tienes que diluir 250 ml en 4,75 L de agua, agitar y disfrutar de una limpieza eficaz y aromática con el sello de calidad Vinfer Laboratorios.</t>
  </si>
  <si>
    <t>limpiador floral concentrado, limpiador perfumado profesional, limpiador 250ml equivale 5 litros, limpieza con aroma floral, limpiador multiusos aroma flores, limpiador concentrado vinfer wins, limpiador hogar perfume duradero, limpiador suelos y baños floral, limpiador concentrado multiusos, limpiador aroma fresco profesional</t>
  </si>
  <si>
    <t>WINS Concentrados – Limpiador Magonlia Profesional 250 ml | Equivale a 5 L | Aroma Duradero y Fresco | Limpieza Multiusos para Hogar, Suelos y Superficies | Vinfer Laboratorios</t>
  </si>
  <si>
    <t>✅ FORMATO CONCENTRADO 5 L EN 250 ML – Ahorra espacio y residuos: cada botella genera 5 litros de producto listo para usar tras diluir con agua.
✅ AROMA FLORAL DURADERO – Deja un agradable y fresco perfume que se mantiene durante horas en el ambiente.
✅ LIMPIEZA EFICAZ Y BRILLO NATURAL – Elimina suciedad, polvo y restos del día a día dejando las superficies limpias y relucientes.
✅ IDEAL PARA TODO TIPO DE SUPERFICIES – Apto para suelos, azulejos, encimeras, baños y zonas comunes del hogar o negocio.
✅ TECNOLOGÍA VINFER LABORATORIOS – Fórmula desarrollada en laboratorio con alta concentración de activos limpiadores para resultados profesionales.</t>
  </si>
  <si>
    <t>WINS  – Limpiador Amoniacal Profesional Pino 250 ml | Equivale a 5 L | Potente Desengrasante Multiusos para Cocina, Suelos y Baños | Vinfer Laboratorios</t>
  </si>
  <si>
    <t>PACK 8 LAVAVAJILLAS</t>
  </si>
  <si>
    <t>PACK 8 MULTIUSOS</t>
  </si>
  <si>
    <t>PACK 8 DESENGRASANTES</t>
  </si>
  <si>
    <t>PACK 8 DESINCRUSTANTE</t>
  </si>
  <si>
    <t>PACK 8 LIMPIACRISTALES</t>
  </si>
  <si>
    <t>PACK 8 GEL WC</t>
  </si>
  <si>
    <t>PACKS GARRAFA+CONCENTRADOS</t>
  </si>
  <si>
    <t>010+WC 010</t>
  </si>
  <si>
    <t>004+WC 004</t>
  </si>
  <si>
    <t>007+WC 007</t>
  </si>
  <si>
    <t>001+ WC 001</t>
  </si>
  <si>
    <t>017+ WC 017</t>
  </si>
  <si>
    <t>018+ WC 018</t>
  </si>
  <si>
    <t>WINS001+WC001</t>
  </si>
  <si>
    <t>WINS004+WC004</t>
  </si>
  <si>
    <t>WINS007+WC007</t>
  </si>
  <si>
    <t>WINS010+WC010</t>
  </si>
  <si>
    <t>WINS017+WC017</t>
  </si>
  <si>
    <t>WINS018+WC018</t>
  </si>
  <si>
    <t>DESENGRASANTE CONCENTRADO 250ML</t>
  </si>
  <si>
    <t>PACKS CONCENTRADOS + BOTELLA 1L</t>
  </si>
  <si>
    <t>WC001 + BOTELLA 1L</t>
  </si>
  <si>
    <t>WC004 + BOTELLA 1L</t>
  </si>
  <si>
    <t>WC007+BOTELLA 1L</t>
  </si>
  <si>
    <t>WC010 + BOTELLA 1L</t>
  </si>
  <si>
    <t>WC017+ BOTELLA 1L</t>
  </si>
  <si>
    <t>WC018+BOTELLA 1L</t>
  </si>
  <si>
    <t>BOTELLA 1L</t>
  </si>
  <si>
    <t>WINS009+WC009</t>
  </si>
  <si>
    <t>009+WC 009</t>
  </si>
  <si>
    <t>PACKS 2 MISMA REFERENCIA</t>
  </si>
  <si>
    <t>PACKS 4</t>
  </si>
  <si>
    <t>PACKS 8</t>
  </si>
  <si>
    <t>PACK 2 DESINCRUSTANTE</t>
  </si>
  <si>
    <t>PACK 2 GEL WC</t>
  </si>
  <si>
    <t>PACK 2 DESENGRASANTE</t>
  </si>
  <si>
    <t>PACK 2 LAVAVAJILLAS</t>
  </si>
  <si>
    <t>PACK 2 MULTIUSOS</t>
  </si>
  <si>
    <t>PACK 2 LIMPIACRISTALES</t>
  </si>
  <si>
    <t>3,3kg</t>
  </si>
  <si>
    <t>LIMPIAPARABRISAS ANTI-LLUVIA</t>
  </si>
  <si>
    <t>LAVAVAJILLAS MANUAL</t>
  </si>
  <si>
    <t>DESENGRASANTE</t>
  </si>
  <si>
    <t>LIMPAPARABRISAS ANTI-INSECTOS</t>
  </si>
  <si>
    <t>MULTISUPERFICIES</t>
  </si>
  <si>
    <t>VINAGRE DE LIMPIEZA</t>
  </si>
  <si>
    <t>ALCOHOL DE LIMPIEZA</t>
  </si>
  <si>
    <t>FREGASUELOS ALTO BRILLO</t>
  </si>
  <si>
    <t>2L</t>
  </si>
  <si>
    <t>AMONIACO DE LIMPIEZA</t>
  </si>
  <si>
    <t>GEL LAVAVAJILLAS MAQUINA</t>
  </si>
  <si>
    <t>INSECTICIDA MOPAS</t>
  </si>
  <si>
    <t>INSECTICIDA FRIEGASUELOS X2</t>
  </si>
  <si>
    <t>INSECTICIDA FRIEGASUELOS INDIVIDUAL</t>
  </si>
  <si>
    <t>MATON PS</t>
  </si>
  <si>
    <t>PACK 2 CITRONELA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</si>
</sst>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9" fontId="0" fillId="2" borderId="1" xfId="1" applyFont="1" applyFill="1" applyBorder="1"/>
    <xf numFmtId="0" fontId="2" fillId="3" borderId="2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1" xfId="0" applyBorder="1"/>
    <xf numFmtId="1" fontId="0" fillId="0" borderId="3" xfId="0" applyNumberFormat="1" applyBorder="1"/>
    <xf numFmtId="0" fontId="0" fillId="0" borderId="3" xfId="0" applyBorder="1"/>
    <xf numFmtId="0" fontId="0" fillId="2" borderId="3" xfId="0" applyFill="1" applyBorder="1"/>
    <xf numFmtId="164" fontId="0" fillId="2" borderId="3" xfId="0" applyNumberFormat="1" applyFill="1" applyBorder="1"/>
    <xf numFmtId="9" fontId="0" fillId="2" borderId="3" xfId="1" applyFont="1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8" fontId="0" fillId="0" borderId="3" xfId="0" applyNumberFormat="1" applyBorder="1"/>
    <xf numFmtId="0" fontId="0" fillId="0" borderId="0" xfId="0" applyAlignment="1">
      <alignment horizontal="center"/>
    </xf>
    <xf numFmtId="0" fontId="0" fillId="2" borderId="4" xfId="0" applyFill="1" applyBorder="1"/>
    <xf numFmtId="164" fontId="0" fillId="2" borderId="4" xfId="0" applyNumberFormat="1" applyFill="1" applyBorder="1"/>
    <xf numFmtId="9" fontId="0" fillId="2" borderId="4" xfId="1" applyFon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/>
    <xf numFmtId="1" fontId="0" fillId="0" borderId="0" xfId="0" applyNumberFormat="1"/>
    <xf numFmtId="0" fontId="0" fillId="4" borderId="1" xfId="0" applyFill="1" applyBorder="1"/>
    <xf numFmtId="1" fontId="0" fillId="4" borderId="0" xfId="0" applyNumberFormat="1" applyFill="1"/>
    <xf numFmtId="2" fontId="0" fillId="0" borderId="0" xfId="0" applyNumberFormat="1"/>
    <xf numFmtId="0" fontId="0" fillId="2" borderId="10" xfId="0" applyFill="1" applyBorder="1"/>
    <xf numFmtId="0" fontId="0" fillId="2" borderId="9" xfId="0" applyFill="1" applyBorder="1"/>
    <xf numFmtId="164" fontId="0" fillId="2" borderId="9" xfId="0" applyNumberFormat="1" applyFill="1" applyBorder="1"/>
    <xf numFmtId="9" fontId="0" fillId="2" borderId="9" xfId="1" applyFont="1" applyFill="1" applyBorder="1"/>
    <xf numFmtId="1" fontId="0" fillId="2" borderId="4" xfId="0" applyNumberForma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/>
    <xf numFmtId="1" fontId="0" fillId="9" borderId="4" xfId="0" applyNumberForma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/>
    <xf numFmtId="0" fontId="0" fillId="8" borderId="0" xfId="0" applyFill="1"/>
    <xf numFmtId="2" fontId="0" fillId="8" borderId="0" xfId="0" applyNumberFormat="1" applyFill="1"/>
    <xf numFmtId="1" fontId="0" fillId="2" borderId="0" xfId="0" applyNumberFormat="1" applyFill="1"/>
    <xf numFmtId="0" fontId="0" fillId="8" borderId="0" xfId="0" applyFill="1" applyAlignment="1">
      <alignment vertical="center"/>
    </xf>
    <xf numFmtId="0" fontId="0" fillId="10" borderId="0" xfId="0" applyFill="1"/>
    <xf numFmtId="2" fontId="0" fillId="10" borderId="0" xfId="0" applyNumberFormat="1" applyFill="1"/>
    <xf numFmtId="0" fontId="0" fillId="10" borderId="0" xfId="0" applyFill="1" applyAlignment="1">
      <alignment horizontal="center" vertical="center"/>
    </xf>
    <xf numFmtId="0" fontId="5" fillId="0" borderId="14" xfId="0" applyFont="1" applyBorder="1" applyAlignment="1">
      <alignment vertical="center"/>
    </xf>
    <xf numFmtId="1" fontId="0" fillId="0" borderId="4" xfId="0" applyNumberFormat="1" applyBorder="1"/>
    <xf numFmtId="0" fontId="5" fillId="0" borderId="15" xfId="0" applyFont="1" applyBorder="1" applyAlignment="1">
      <alignment vertical="center"/>
    </xf>
    <xf numFmtId="1" fontId="0" fillId="11" borderId="4" xfId="0" applyNumberFormat="1" applyFill="1" applyBorder="1"/>
    <xf numFmtId="0" fontId="0" fillId="6" borderId="0" xfId="0" applyFill="1" applyAlignment="1">
      <alignment horizontal="center"/>
    </xf>
    <xf numFmtId="1" fontId="0" fillId="12" borderId="4" xfId="0" applyNumberFormat="1" applyFill="1" applyBorder="1"/>
    <xf numFmtId="1" fontId="0" fillId="12" borderId="0" xfId="0" applyNumberFormat="1" applyFill="1"/>
    <xf numFmtId="0" fontId="0" fillId="4" borderId="0" xfId="0" applyFill="1"/>
    <xf numFmtId="0" fontId="0" fillId="12" borderId="1" xfId="0" applyFill="1" applyBorder="1"/>
    <xf numFmtId="0" fontId="0" fillId="12" borderId="4" xfId="0" applyFill="1" applyBorder="1"/>
    <xf numFmtId="164" fontId="0" fillId="12" borderId="4" xfId="0" applyNumberFormat="1" applyFill="1" applyBorder="1"/>
    <xf numFmtId="9" fontId="0" fillId="12" borderId="4" xfId="1" applyFont="1" applyFill="1" applyBorder="1"/>
    <xf numFmtId="2" fontId="0" fillId="4" borderId="0" xfId="0" applyNumberFormat="1" applyFill="1"/>
    <xf numFmtId="0" fontId="0" fillId="4" borderId="0" xfId="0" applyFill="1" applyAlignment="1">
      <alignment wrapText="1"/>
    </xf>
    <xf numFmtId="0" fontId="3" fillId="4" borderId="0" xfId="0" applyFont="1" applyFill="1"/>
    <xf numFmtId="0" fontId="0" fillId="4" borderId="0" xfId="0" applyFill="1" applyAlignment="1">
      <alignment horizontal="center"/>
    </xf>
    <xf numFmtId="1" fontId="0" fillId="11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11" borderId="1" xfId="0" applyFill="1" applyBorder="1"/>
    <xf numFmtId="0" fontId="0" fillId="11" borderId="4" xfId="0" applyFill="1" applyBorder="1"/>
    <xf numFmtId="164" fontId="0" fillId="11" borderId="4" xfId="0" applyNumberFormat="1" applyFill="1" applyBorder="1"/>
    <xf numFmtId="9" fontId="0" fillId="11" borderId="4" xfId="1" applyFont="1" applyFill="1" applyBorder="1"/>
    <xf numFmtId="164" fontId="0" fillId="12" borderId="9" xfId="0" applyNumberFormat="1" applyFill="1" applyBorder="1"/>
    <xf numFmtId="1" fontId="0" fillId="13" borderId="4" xfId="0" applyNumberFormat="1" applyFill="1" applyBorder="1"/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20"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77A75-5F84-47DB-81EE-6A953B3F90BA}" name="Tabla1" displayName="Tabla1" ref="A1:M24" totalsRowShown="0" headerRowDxfId="19" dataDxfId="18" tableBorderDxfId="17">
  <autoFilter ref="A1:M24" xr:uid="{CC277A75-5F84-47DB-81EE-6A953B3F90BA}"/>
  <tableColumns count="13">
    <tableColumn id="1" xr3:uid="{013907D4-1754-4621-BC35-29CDA77DD2A9}" name="EAN" dataDxfId="16"/>
    <tableColumn id="2" xr3:uid="{7228BF6B-B1DD-4BB3-BEC8-13E5688E3224}" name="Título" dataDxfId="15"/>
    <tableColumn id="12" xr3:uid="{4E9FF351-B1E8-4E0B-87C3-B19AF74D736D}" name="CDAD" dataDxfId="14"/>
    <tableColumn id="3" xr3:uid="{720B3D98-BD83-4FB7-8B86-3ACB6355B04B}" name="REF." dataDxfId="13"/>
    <tableColumn id="4" xr3:uid="{B4879403-69DD-4883-A11B-22BCBB966ABD}" name="COSTE " dataDxfId="12">
      <calculatedColumnFormula>2.308*0.45</calculatedColumnFormula>
    </tableColumn>
    <tableColumn id="5" xr3:uid="{D7461CFA-4421-4EA6-B930-690EB127CA5A}" name="15% AMZON" dataDxfId="11">
      <calculatedColumnFormula>+K2*0.15</calculatedColumnFormula>
    </tableColumn>
    <tableColumn id="6" xr3:uid="{F66BB10D-F00B-4EA9-9DCE-4A1C2A40885A}" name="ENVÍO" dataDxfId="10"/>
    <tableColumn id="7" xr3:uid="{56810731-E4B4-4888-90F4-3A44AC7335E3}" name="IVA" dataDxfId="9">
      <calculatedColumnFormula>+Tabla1[[#This Row],[PVP]]*0.1735</calculatedColumnFormula>
    </tableColumn>
    <tableColumn id="8" xr3:uid="{55622005-0AC8-4982-8832-E2DA48877DC7}" name="Coste final" dataDxfId="8">
      <calculatedColumnFormula>+E2+F2+G2+H2</calculatedColumnFormula>
    </tableColumn>
    <tableColumn id="9" xr3:uid="{E5802DE8-1BDB-4574-BC0B-13359DED7E80}" name="Margen" dataDxfId="7">
      <calculatedColumnFormula>+Tabla1[[#This Row],[PVP]]-Tabla1[[#This Row],[Coste final]]+Tabla1[[#This Row],[IVA COMPRA]]</calculatedColumnFormula>
    </tableColumn>
    <tableColumn id="10" xr3:uid="{80C17802-5435-49CD-AE37-F6A959276F40}" name="PVP" dataDxfId="6"/>
    <tableColumn id="11" xr3:uid="{94DF474A-76C3-4428-A590-B80A55F62967}" name="%Margen" dataDxfId="5" dataCellStyle="Porcentaje">
      <calculatedColumnFormula>+Tabla1[[#This Row],[Margen]]/Tabla1[[#This Row],[PVP]]</calculatedColumnFormula>
    </tableColumn>
    <tableColumn id="13" xr3:uid="{C19A8023-DDEF-4ED7-9373-68B183A560DD}" name="IVA COMPRA" dataDxfId="4">
      <calculatedColumnFormula>+E2*0.175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D5DA0-97FE-4F6A-89A0-A1B6F429687B}" name="Tabla2" displayName="Tabla2" ref="A2:S1048576" totalsRowShown="0" headerRowDxfId="3" headerRowBorderDxfId="2" tableBorderDxfId="1">
  <autoFilter ref="A2:S1048576" xr:uid="{EE2D5DA0-97FE-4F6A-89A0-A1B6F429687B}"/>
  <sortState xmlns:xlrd2="http://schemas.microsoft.com/office/spreadsheetml/2017/richdata2" ref="A3:N28">
    <sortCondition ref="E2:E1048576"/>
  </sortState>
  <tableColumns count="19">
    <tableColumn id="1" xr3:uid="{12AED440-C9AE-4170-997C-6BC39B149075}" name="EAN"/>
    <tableColumn id="14" xr3:uid="{050731F7-9AD8-43DB-9ED7-DE5D8DCCFA7D}" name="SKU"/>
    <tableColumn id="2" xr3:uid="{7788495D-66E6-4C49-9F6C-EA7211CD5F08}" name="Título"/>
    <tableColumn id="3" xr3:uid="{59A8B4D3-CB7E-4C91-993A-366A34A07689}" name="CDAD"/>
    <tableColumn id="4" xr3:uid="{2DBB5B84-0250-4E32-83A2-15E0B01907E0}" name="REF."/>
    <tableColumn id="5" xr3:uid="{B9B7D462-0E1A-4F46-A807-7DA4EFA2A8AC}" name="COSTE "/>
    <tableColumn id="6" xr3:uid="{5531D418-5089-4A4A-B9B1-6F7C39E9BB67}" name="15% AMZON"/>
    <tableColumn id="7" xr3:uid="{4E89842F-0CFB-4985-9527-085D41CB2287}" name="ENVÍO"/>
    <tableColumn id="8" xr3:uid="{2139090F-A807-4868-A102-3E5C31F2F116}" name="IVA"/>
    <tableColumn id="9" xr3:uid="{FCCA4D09-35C3-4A7A-B796-7E9D4E7FE781}" name="Coste final"/>
    <tableColumn id="10" xr3:uid="{019C395A-9ACC-45EA-8FE6-A9BEC34968F9}" name="Margen"/>
    <tableColumn id="11" xr3:uid="{8808D5EE-C5EA-4DFD-AD11-2D3F6FF211D7}" name="PVP"/>
    <tableColumn id="12" xr3:uid="{60861437-C87A-4B59-9CFB-23ABB682EA86}" name="%Margen"/>
    <tableColumn id="13" xr3:uid="{549F1F70-03BD-4B6F-8A87-16C548FA4CFC}" name="IVA2" dataDxfId="0">
      <calculatedColumnFormula>+F3*0.175</calculatedColumnFormula>
    </tableColumn>
    <tableColumn id="15" xr3:uid="{6784D9A0-8279-406B-9484-71104DCDEDE5}" name="CATEGORÍA"/>
    <tableColumn id="16" xr3:uid="{4527D38A-D2C8-420C-8BF2-619E37A5D746}" name="TITULO"/>
    <tableColumn id="17" xr3:uid="{251D0399-3331-4908-8192-985954843C4E}" name="BP"/>
    <tableColumn id="18" xr3:uid="{EBBB4884-0FD0-4A5E-A94D-EFA3A43C7BB8}" name="DESCRIPCION"/>
    <tableColumn id="19" xr3:uid="{985A26AB-BA28-4317-97C5-FC3C1E0D5F8A}" name="K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B3FB-AD8C-4B39-948A-BBE7E8913077}">
  <dimension ref="A1:R62"/>
  <sheetViews>
    <sheetView topLeftCell="A41" workbookViewId="0">
      <selection activeCell="K61" sqref="K61"/>
    </sheetView>
  </sheetViews>
  <sheetFormatPr baseColWidth="10" defaultRowHeight="15" x14ac:dyDescent="0.25"/>
  <cols>
    <col min="1" max="1" width="14" bestFit="1" customWidth="1"/>
    <col min="2" max="2" width="56.85546875" customWidth="1"/>
    <col min="3" max="3" width="58.42578125" customWidth="1"/>
    <col min="4" max="4" width="35.28515625" bestFit="1" customWidth="1"/>
    <col min="6" max="6" width="13.7109375" customWidth="1"/>
    <col min="7" max="7" width="8.85546875" customWidth="1"/>
    <col min="9" max="9" width="13" customWidth="1"/>
    <col min="11" max="11" width="6.5703125" customWidth="1"/>
  </cols>
  <sheetData>
    <row r="1" spans="1:18" x14ac:dyDescent="0.25">
      <c r="A1" s="5" t="s">
        <v>9</v>
      </c>
      <c r="B1" s="5" t="s">
        <v>10</v>
      </c>
      <c r="C1" s="5" t="s">
        <v>17</v>
      </c>
      <c r="D1" s="5" t="s">
        <v>0</v>
      </c>
      <c r="E1" s="6" t="s">
        <v>1</v>
      </c>
      <c r="F1" s="6" t="s">
        <v>2</v>
      </c>
      <c r="G1" s="6" t="s">
        <v>3</v>
      </c>
      <c r="H1" s="7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70</v>
      </c>
    </row>
    <row r="2" spans="1:18" x14ac:dyDescent="0.25">
      <c r="A2" s="1">
        <v>8410836206958</v>
      </c>
      <c r="B2" s="8" t="s">
        <v>11</v>
      </c>
      <c r="C2" s="8" t="s">
        <v>18</v>
      </c>
      <c r="D2" s="2" t="s">
        <v>12</v>
      </c>
      <c r="E2" s="2">
        <f>2.425*0.46</f>
        <v>1.1154999999999999</v>
      </c>
      <c r="F2" s="2">
        <f t="shared" ref="F2:F24" si="0">+K2*0.15</f>
        <v>1.4984999999999999</v>
      </c>
      <c r="G2" s="2">
        <v>3.3</v>
      </c>
      <c r="H2" s="2">
        <f>+Tabla1[[#This Row],[PVP]]*0.1735</f>
        <v>1.7332649999999998</v>
      </c>
      <c r="I2" s="2">
        <f t="shared" ref="I2:I7" si="1">+E2+F2+G2+H2</f>
        <v>7.6472649999999991</v>
      </c>
      <c r="J2" s="3">
        <f>+Tabla1[[#This Row],[PVP]]-Tabla1[[#This Row],[Coste final]]+Tabla1[[#This Row],[IVA COMPRA]]</f>
        <v>2.5379475000000009</v>
      </c>
      <c r="K2" s="2">
        <v>9.99</v>
      </c>
      <c r="L2" s="4">
        <f>+Tabla1[[#This Row],[Margen]]/Tabla1[[#This Row],[PVP]]</f>
        <v>0.25404879879879888</v>
      </c>
      <c r="M2" s="30">
        <f t="shared" ref="M2:M24" si="2">+E2*0.175</f>
        <v>0.19521249999999998</v>
      </c>
    </row>
    <row r="3" spans="1:18" x14ac:dyDescent="0.25">
      <c r="A3" s="1">
        <v>8410836200901</v>
      </c>
      <c r="B3" s="8" t="s">
        <v>13</v>
      </c>
      <c r="C3" s="8" t="s">
        <v>18</v>
      </c>
      <c r="D3" s="8" t="s">
        <v>15</v>
      </c>
      <c r="E3" s="8">
        <f>2.308*0.46</f>
        <v>1.06168</v>
      </c>
      <c r="F3" s="2">
        <f t="shared" si="0"/>
        <v>1.4984999999999999</v>
      </c>
      <c r="G3" s="8">
        <v>3.3</v>
      </c>
      <c r="H3" s="2">
        <f>+Tabla1[[#This Row],[PVP]]*0.1735</f>
        <v>1.7332649999999998</v>
      </c>
      <c r="I3" s="8">
        <f t="shared" si="1"/>
        <v>7.5934449999999991</v>
      </c>
      <c r="J3" s="16">
        <f>+Tabla1[[#This Row],[PVP]]-Tabla1[[#This Row],[Coste final]]+Tabla1[[#This Row],[IVA COMPRA]]</f>
        <v>2.5823490000000011</v>
      </c>
      <c r="K3" s="8">
        <v>9.99</v>
      </c>
      <c r="L3" s="4">
        <f>+Tabla1[[#This Row],[Margen]]/Tabla1[[#This Row],[PVP]]</f>
        <v>0.2584933933933935</v>
      </c>
      <c r="M3" s="30">
        <f t="shared" si="2"/>
        <v>0.18579399999999999</v>
      </c>
    </row>
    <row r="4" spans="1:18" x14ac:dyDescent="0.25">
      <c r="A4" s="1">
        <v>8410836200895</v>
      </c>
      <c r="B4" s="28" t="s">
        <v>14</v>
      </c>
      <c r="C4" s="8" t="s">
        <v>18</v>
      </c>
      <c r="D4" s="8" t="s">
        <v>16</v>
      </c>
      <c r="E4" s="8">
        <f>2.308*0.46</f>
        <v>1.06168</v>
      </c>
      <c r="F4" s="2">
        <f t="shared" si="0"/>
        <v>1.1684999999999999</v>
      </c>
      <c r="G4" s="2">
        <v>3.3</v>
      </c>
      <c r="H4" s="2">
        <f>+Tabla1[[#This Row],[PVP]]*0.1735</f>
        <v>1.3515649999999999</v>
      </c>
      <c r="I4" s="2">
        <f t="shared" si="1"/>
        <v>6.8817449999999996</v>
      </c>
      <c r="J4" s="3">
        <f>+Tabla1[[#This Row],[PVP]]-Tabla1[[#This Row],[Coste final]]+Tabla1[[#This Row],[IVA COMPRA]]</f>
        <v>1.0940490000000005</v>
      </c>
      <c r="K4" s="2">
        <v>7.79</v>
      </c>
      <c r="L4" s="4">
        <f>+Tabla1[[#This Row],[Margen]]/Tabla1[[#This Row],[PVP]]</f>
        <v>0.1404427471116817</v>
      </c>
      <c r="M4" s="30">
        <f t="shared" si="2"/>
        <v>0.18579399999999999</v>
      </c>
    </row>
    <row r="5" spans="1:18" x14ac:dyDescent="0.25">
      <c r="A5" s="1">
        <v>8410836208372</v>
      </c>
      <c r="B5" s="22" t="s">
        <v>19</v>
      </c>
      <c r="C5" s="10" t="s">
        <v>20</v>
      </c>
      <c r="D5" s="10" t="s">
        <v>21</v>
      </c>
      <c r="E5" s="10">
        <f>5.136*0.46</f>
        <v>2.3625600000000002</v>
      </c>
      <c r="F5" s="2">
        <f t="shared" si="0"/>
        <v>1.9484999999999999</v>
      </c>
      <c r="G5" s="2">
        <v>3.3</v>
      </c>
      <c r="H5" s="2">
        <f>+Tabla1[[#This Row],[PVP]]*0.1735</f>
        <v>2.253765</v>
      </c>
      <c r="I5" s="2">
        <f t="shared" si="1"/>
        <v>9.8648249999999997</v>
      </c>
      <c r="J5" s="12">
        <f>+Tabla1[[#This Row],[PVP]]-Tabla1[[#This Row],[Coste final]]+Tabla1[[#This Row],[IVA COMPRA]]</f>
        <v>3.5386230000000003</v>
      </c>
      <c r="K5" s="2">
        <v>12.99</v>
      </c>
      <c r="L5" s="13">
        <f>+Tabla1[[#This Row],[Margen]]/Tabla1[[#This Row],[PVP]]</f>
        <v>0.27241131639722865</v>
      </c>
      <c r="M5" s="30">
        <f t="shared" si="2"/>
        <v>0.41344800000000004</v>
      </c>
    </row>
    <row r="6" spans="1:18" ht="30" x14ac:dyDescent="0.25">
      <c r="A6" s="9">
        <v>8410836222828</v>
      </c>
      <c r="B6" s="23" t="s">
        <v>22</v>
      </c>
      <c r="C6" s="10" t="s">
        <v>23</v>
      </c>
      <c r="D6" s="10" t="s">
        <v>24</v>
      </c>
      <c r="E6" s="10">
        <f>6.665*0.46</f>
        <v>3.0659000000000001</v>
      </c>
      <c r="F6" s="2">
        <f t="shared" si="0"/>
        <v>1.9484999999999999</v>
      </c>
      <c r="G6" s="2">
        <v>3.3</v>
      </c>
      <c r="H6" s="2">
        <f>+Tabla1[[#This Row],[PVP]]*0.1735</f>
        <v>2.253765</v>
      </c>
      <c r="I6" s="2">
        <f t="shared" si="1"/>
        <v>10.568164999999999</v>
      </c>
      <c r="J6" s="12">
        <f>+Tabla1[[#This Row],[PVP]]-Tabla1[[#This Row],[Coste final]]+Tabla1[[#This Row],[IVA COMPRA]]</f>
        <v>2.9583675000000014</v>
      </c>
      <c r="K6" s="2">
        <v>12.99</v>
      </c>
      <c r="L6" s="13">
        <f>+Tabla1[[#This Row],[Margen]]/Tabla1[[#This Row],[PVP]]</f>
        <v>0.22774191685912251</v>
      </c>
      <c r="M6" s="30">
        <f t="shared" si="2"/>
        <v>0.53653249999999997</v>
      </c>
    </row>
    <row r="7" spans="1:18" x14ac:dyDescent="0.25">
      <c r="A7" s="9">
        <v>8410836213055</v>
      </c>
      <c r="B7" s="22" t="s">
        <v>25</v>
      </c>
      <c r="C7" s="10" t="s">
        <v>20</v>
      </c>
      <c r="D7" s="10" t="s">
        <v>60</v>
      </c>
      <c r="E7" s="10">
        <f>4.447*0.46</f>
        <v>2.04562</v>
      </c>
      <c r="F7" s="2">
        <f t="shared" si="0"/>
        <v>1.2690000000000001</v>
      </c>
      <c r="G7" s="2">
        <v>3.3</v>
      </c>
      <c r="H7" s="2">
        <f>+Tabla1[[#This Row],[PVP]]*0.1735</f>
        <v>1.4678100000000001</v>
      </c>
      <c r="I7" s="2">
        <f t="shared" si="1"/>
        <v>8.0824300000000004</v>
      </c>
      <c r="J7" s="12">
        <f>+Tabla1[[#This Row],[PVP]]-Tabla1[[#This Row],[Coste final]]+Tabla1[[#This Row],[IVA COMPRA]]</f>
        <v>0.73555350000000042</v>
      </c>
      <c r="K7" s="2">
        <v>8.4600000000000009</v>
      </c>
      <c r="L7" s="13">
        <f>+Tabla1[[#This Row],[Margen]]/Tabla1[[#This Row],[PVP]]</f>
        <v>8.6944858156028412E-2</v>
      </c>
      <c r="M7" s="30">
        <f t="shared" si="2"/>
        <v>0.35798349999999995</v>
      </c>
    </row>
    <row r="8" spans="1:18" x14ac:dyDescent="0.25">
      <c r="A8" s="9">
        <v>8410836217923</v>
      </c>
      <c r="B8" s="22" t="s">
        <v>26</v>
      </c>
      <c r="C8" s="10" t="s">
        <v>23</v>
      </c>
      <c r="D8" s="10"/>
      <c r="E8" s="10">
        <f>3.706*0.46</f>
        <v>1.7047600000000001</v>
      </c>
      <c r="F8" s="2">
        <f t="shared" si="0"/>
        <v>1.4984999999999999</v>
      </c>
      <c r="G8" s="2">
        <v>3.3</v>
      </c>
      <c r="H8" s="2">
        <f>+Tabla1[[#This Row],[PVP]]*0.1735</f>
        <v>1.7332649999999998</v>
      </c>
      <c r="I8" s="2">
        <f t="shared" ref="I8:I17" si="3">+E8+F8+G8+H8</f>
        <v>8.2365250000000003</v>
      </c>
      <c r="J8" s="12">
        <f>+Tabla1[[#This Row],[PVP]]-Tabla1[[#This Row],[Coste final]]+Tabla1[[#This Row],[IVA COMPRA]]</f>
        <v>2.0518079999999999</v>
      </c>
      <c r="K8" s="2">
        <v>9.99</v>
      </c>
      <c r="L8" s="13">
        <f>+Tabla1[[#This Row],[Margen]]/Tabla1[[#This Row],[PVP]]</f>
        <v>0.20538618618618618</v>
      </c>
      <c r="M8" s="30">
        <f t="shared" si="2"/>
        <v>0.29833300000000001</v>
      </c>
    </row>
    <row r="9" spans="1:18" x14ac:dyDescent="0.25">
      <c r="A9" s="9">
        <v>8410836221647</v>
      </c>
      <c r="B9" s="22" t="s">
        <v>27</v>
      </c>
      <c r="C9" s="10" t="s">
        <v>23</v>
      </c>
      <c r="D9" s="10" t="s">
        <v>59</v>
      </c>
      <c r="E9" s="10">
        <f>3.494*0.46</f>
        <v>1.6072400000000002</v>
      </c>
      <c r="F9" s="2">
        <f t="shared" si="0"/>
        <v>1.1984999999999999</v>
      </c>
      <c r="G9" s="2">
        <v>3.3</v>
      </c>
      <c r="H9" s="2">
        <f>+Tabla1[[#This Row],[PVP]]*0.1735</f>
        <v>1.3862649999999999</v>
      </c>
      <c r="I9" s="2">
        <f t="shared" si="3"/>
        <v>7.4920049999999998</v>
      </c>
      <c r="J9" s="12">
        <f>+Tabla1[[#This Row],[PVP]]-Tabla1[[#This Row],[Coste final]]+Tabla1[[#This Row],[IVA COMPRA]]</f>
        <v>0.77926200000000045</v>
      </c>
      <c r="K9" s="2">
        <v>7.99</v>
      </c>
      <c r="L9" s="13">
        <f>+Tabla1[[#This Row],[Margen]]/Tabla1[[#This Row],[PVP]]</f>
        <v>9.7529662077597057E-2</v>
      </c>
      <c r="M9" s="30">
        <f t="shared" si="2"/>
        <v>0.28126700000000004</v>
      </c>
      <c r="O9">
        <v>6.665</v>
      </c>
      <c r="P9">
        <f>+O9*0.49</f>
        <v>3.2658499999999999</v>
      </c>
      <c r="Q9">
        <f>+P9*0.95</f>
        <v>3.1025574999999996</v>
      </c>
      <c r="R9">
        <f>+Q9*1080</f>
        <v>3350.7620999999995</v>
      </c>
    </row>
    <row r="10" spans="1:18" x14ac:dyDescent="0.25">
      <c r="A10" s="9">
        <v>8410836221630</v>
      </c>
      <c r="B10" s="22" t="s">
        <v>28</v>
      </c>
      <c r="C10" s="10" t="s">
        <v>23</v>
      </c>
      <c r="D10" s="10" t="s">
        <v>61</v>
      </c>
      <c r="E10" s="10">
        <f>3.706*0.46</f>
        <v>1.7047600000000001</v>
      </c>
      <c r="F10" s="2">
        <f t="shared" si="0"/>
        <v>1.4984999999999999</v>
      </c>
      <c r="G10" s="2">
        <v>3.3</v>
      </c>
      <c r="H10" s="2">
        <f>+Tabla1[[#This Row],[PVP]]*0.1735</f>
        <v>1.7332649999999998</v>
      </c>
      <c r="I10" s="2">
        <f t="shared" si="3"/>
        <v>8.2365250000000003</v>
      </c>
      <c r="J10" s="12">
        <f>+Tabla1[[#This Row],[PVP]]-Tabla1[[#This Row],[Coste final]]+Tabla1[[#This Row],[IVA COMPRA]]</f>
        <v>2.0518079999999999</v>
      </c>
      <c r="K10" s="2">
        <v>9.99</v>
      </c>
      <c r="L10" s="13">
        <f>+Tabla1[[#This Row],[Margen]]/Tabla1[[#This Row],[PVP]]</f>
        <v>0.20538618618618618</v>
      </c>
      <c r="M10" s="30">
        <f t="shared" si="2"/>
        <v>0.29833300000000001</v>
      </c>
      <c r="O10">
        <v>4.4470000000000001</v>
      </c>
      <c r="P10">
        <f>+O10*0.49</f>
        <v>2.17903</v>
      </c>
      <c r="Q10">
        <f>+P10*0.95</f>
        <v>2.0700784999999997</v>
      </c>
      <c r="R10">
        <f>+Q10*1320</f>
        <v>2732.5036199999995</v>
      </c>
    </row>
    <row r="11" spans="1:18" x14ac:dyDescent="0.25">
      <c r="A11" s="9">
        <v>8410836221623</v>
      </c>
      <c r="B11" s="22" t="s">
        <v>29</v>
      </c>
      <c r="C11" s="10" t="s">
        <v>23</v>
      </c>
      <c r="D11" s="10"/>
      <c r="E11" s="10">
        <f>4.606*0.46</f>
        <v>2.11876</v>
      </c>
      <c r="F11" s="2">
        <f t="shared" si="0"/>
        <v>1.6485000000000001</v>
      </c>
      <c r="G11" s="2">
        <v>3.3</v>
      </c>
      <c r="H11" s="2">
        <f>+Tabla1[[#This Row],[PVP]]*0.1735</f>
        <v>1.9067649999999998</v>
      </c>
      <c r="I11" s="2">
        <f t="shared" si="3"/>
        <v>8.9740249999999993</v>
      </c>
      <c r="J11" s="12">
        <f>+Tabla1[[#This Row],[PVP]]-Tabla1[[#This Row],[Coste final]]+Tabla1[[#This Row],[IVA COMPRA]]</f>
        <v>2.3867580000000008</v>
      </c>
      <c r="K11" s="2">
        <v>10.99</v>
      </c>
      <c r="L11" s="13">
        <f>+Tabla1[[#This Row],[Margen]]/Tabla1[[#This Row],[PVP]]</f>
        <v>0.21717543221110108</v>
      </c>
      <c r="M11" s="30">
        <f t="shared" si="2"/>
        <v>0.37078299999999997</v>
      </c>
      <c r="R11">
        <f>+R9+R10</f>
        <v>6083.2657199999994</v>
      </c>
    </row>
    <row r="12" spans="1:18" x14ac:dyDescent="0.25">
      <c r="A12" s="9">
        <v>8410836222477</v>
      </c>
      <c r="B12" s="22" t="s">
        <v>30</v>
      </c>
      <c r="C12" s="10" t="s">
        <v>23</v>
      </c>
      <c r="D12" s="10"/>
      <c r="E12" s="10">
        <f>3.876*0.46</f>
        <v>1.7829600000000001</v>
      </c>
      <c r="F12" s="2">
        <f t="shared" si="0"/>
        <v>1.4984999999999999</v>
      </c>
      <c r="G12" s="2">
        <v>3.3</v>
      </c>
      <c r="H12" s="2">
        <f>+Tabla1[[#This Row],[PVP]]*0.1735</f>
        <v>1.7332649999999998</v>
      </c>
      <c r="I12" s="2">
        <f t="shared" si="3"/>
        <v>8.3147249999999993</v>
      </c>
      <c r="J12" s="12">
        <f>+Tabla1[[#This Row],[PVP]]-Tabla1[[#This Row],[Coste final]]+Tabla1[[#This Row],[IVA COMPRA]]</f>
        <v>1.9872930000000011</v>
      </c>
      <c r="K12" s="2">
        <v>9.99</v>
      </c>
      <c r="L12" s="13">
        <f>+Tabla1[[#This Row],[Margen]]/Tabla1[[#This Row],[PVP]]</f>
        <v>0.19892822822822834</v>
      </c>
      <c r="M12" s="30">
        <f t="shared" si="2"/>
        <v>0.31201800000000002</v>
      </c>
    </row>
    <row r="13" spans="1:18" x14ac:dyDescent="0.25">
      <c r="A13" s="9">
        <v>8410836222255</v>
      </c>
      <c r="B13" s="22" t="s">
        <v>31</v>
      </c>
      <c r="C13" s="10" t="s">
        <v>23</v>
      </c>
      <c r="D13" s="10" t="s">
        <v>63</v>
      </c>
      <c r="E13" s="10">
        <f>6.882*0.46</f>
        <v>3.1657199999999999</v>
      </c>
      <c r="F13" s="2">
        <f t="shared" si="0"/>
        <v>1.4984999999999999</v>
      </c>
      <c r="G13" s="2">
        <v>3.3</v>
      </c>
      <c r="H13" s="2">
        <f>+Tabla1[[#This Row],[PVP]]*0.1735</f>
        <v>1.7332649999999998</v>
      </c>
      <c r="I13" s="2">
        <f t="shared" si="3"/>
        <v>9.6974850000000004</v>
      </c>
      <c r="J13" s="12">
        <f>+Tabla1[[#This Row],[PVP]]-Tabla1[[#This Row],[Coste final]]+Tabla1[[#This Row],[IVA COMPRA]]</f>
        <v>0.84651599999999982</v>
      </c>
      <c r="K13" s="2">
        <v>9.99</v>
      </c>
      <c r="L13" s="13">
        <f>+Tabla1[[#This Row],[Margen]]/Tabla1[[#This Row],[PVP]]</f>
        <v>8.4736336336336315E-2</v>
      </c>
      <c r="M13" s="30">
        <f t="shared" si="2"/>
        <v>0.55400099999999997</v>
      </c>
    </row>
    <row r="14" spans="1:18" ht="30" x14ac:dyDescent="0.25">
      <c r="A14" s="9">
        <v>8410836207214</v>
      </c>
      <c r="B14" s="14" t="s">
        <v>32</v>
      </c>
      <c r="C14" s="10" t="s">
        <v>33</v>
      </c>
      <c r="D14" s="10"/>
      <c r="E14" s="10">
        <f>3.494*0.46</f>
        <v>1.6072400000000002</v>
      </c>
      <c r="F14" s="2">
        <f t="shared" si="0"/>
        <v>1.4984999999999999</v>
      </c>
      <c r="G14" s="2">
        <v>3.3</v>
      </c>
      <c r="H14" s="2">
        <f>+Tabla1[[#This Row],[PVP]]*0.1735</f>
        <v>1.7332649999999998</v>
      </c>
      <c r="I14" s="2">
        <f t="shared" si="3"/>
        <v>8.1390049999999992</v>
      </c>
      <c r="J14" s="12">
        <f>+Tabla1[[#This Row],[PVP]]-Tabla1[[#This Row],[Coste final]]+Tabla1[[#This Row],[IVA COMPRA]]</f>
        <v>2.1322620000000012</v>
      </c>
      <c r="K14" s="2">
        <v>9.99</v>
      </c>
      <c r="L14" s="13">
        <f>+Tabla1[[#This Row],[Margen]]/Tabla1[[#This Row],[PVP]]</f>
        <v>0.21343963963963974</v>
      </c>
      <c r="M14" s="30">
        <f t="shared" si="2"/>
        <v>0.28126700000000004</v>
      </c>
    </row>
    <row r="15" spans="1:18" ht="30" x14ac:dyDescent="0.25">
      <c r="A15" s="9">
        <v>8410836222408</v>
      </c>
      <c r="B15" s="14" t="s">
        <v>34</v>
      </c>
      <c r="C15" s="10" t="s">
        <v>35</v>
      </c>
      <c r="D15" s="10"/>
      <c r="E15" s="10">
        <f>4.101*0.46</f>
        <v>1.88646</v>
      </c>
      <c r="F15" s="2">
        <f t="shared" si="0"/>
        <v>1.4984999999999999</v>
      </c>
      <c r="G15" s="2">
        <v>3.3</v>
      </c>
      <c r="H15" s="2">
        <f>+Tabla1[[#This Row],[PVP]]*0.1735</f>
        <v>1.7332649999999998</v>
      </c>
      <c r="I15" s="2">
        <f t="shared" si="3"/>
        <v>8.4182249999999996</v>
      </c>
      <c r="J15" s="12">
        <f>+Tabla1[[#This Row],[PVP]]-Tabla1[[#This Row],[Coste final]]+Tabla1[[#This Row],[IVA COMPRA]]</f>
        <v>1.9019055000000007</v>
      </c>
      <c r="K15" s="2">
        <v>9.99</v>
      </c>
      <c r="L15" s="13">
        <f>+Tabla1[[#This Row],[Margen]]/Tabla1[[#This Row],[PVP]]</f>
        <v>0.190380930930931</v>
      </c>
      <c r="M15" s="30">
        <f t="shared" si="2"/>
        <v>0.33013049999999999</v>
      </c>
    </row>
    <row r="16" spans="1:18" ht="30" x14ac:dyDescent="0.25">
      <c r="A16" s="9">
        <v>8410836001010</v>
      </c>
      <c r="B16" s="14" t="s">
        <v>36</v>
      </c>
      <c r="C16" s="10" t="s">
        <v>35</v>
      </c>
      <c r="D16" s="10"/>
      <c r="E16" s="10">
        <f>4.228*0.46</f>
        <v>1.9448799999999999</v>
      </c>
      <c r="F16" s="2">
        <f t="shared" si="0"/>
        <v>1.4984999999999999</v>
      </c>
      <c r="G16" s="2">
        <v>3.3</v>
      </c>
      <c r="H16" s="2">
        <f>+Tabla1[[#This Row],[PVP]]*0.1735</f>
        <v>1.7332649999999998</v>
      </c>
      <c r="I16" s="2">
        <f t="shared" si="3"/>
        <v>8.4766449999999995</v>
      </c>
      <c r="J16" s="12">
        <f>+Tabla1[[#This Row],[PVP]]-Tabla1[[#This Row],[Coste final]]+Tabla1[[#This Row],[IVA COMPRA]]</f>
        <v>1.8537090000000007</v>
      </c>
      <c r="K16" s="2">
        <v>9.99</v>
      </c>
      <c r="L16" s="13">
        <f>+Tabla1[[#This Row],[Margen]]/Tabla1[[#This Row],[PVP]]</f>
        <v>0.18555645645645652</v>
      </c>
      <c r="M16" s="30">
        <f t="shared" si="2"/>
        <v>0.34035399999999999</v>
      </c>
    </row>
    <row r="17" spans="1:14" x14ac:dyDescent="0.25">
      <c r="A17" s="1"/>
      <c r="B17" s="15"/>
      <c r="C17" s="8"/>
      <c r="D17" s="8"/>
      <c r="E17" s="8">
        <f>2.308*0.46</f>
        <v>1.06168</v>
      </c>
      <c r="F17" s="2">
        <f t="shared" si="0"/>
        <v>1.4984999999999999</v>
      </c>
      <c r="G17" s="2">
        <v>3.3</v>
      </c>
      <c r="H17" s="2">
        <f>+Tabla1[[#This Row],[PVP]]*0.1735</f>
        <v>1.7332649999999998</v>
      </c>
      <c r="I17" s="2">
        <f t="shared" si="3"/>
        <v>7.5934449999999991</v>
      </c>
      <c r="J17" s="12">
        <f>+Tabla1[[#This Row],[PVP]]-Tabla1[[#This Row],[Coste final]]+Tabla1[[#This Row],[IVA COMPRA]]</f>
        <v>2.5823490000000011</v>
      </c>
      <c r="K17" s="2">
        <v>9.99</v>
      </c>
      <c r="L17" s="13">
        <f>+Tabla1[[#This Row],[Margen]]/Tabla1[[#This Row],[PVP]]</f>
        <v>0.2584933933933935</v>
      </c>
      <c r="M17" s="30">
        <f t="shared" si="2"/>
        <v>0.18579399999999999</v>
      </c>
    </row>
    <row r="18" spans="1:14" x14ac:dyDescent="0.25">
      <c r="A18" s="9" t="s">
        <v>38</v>
      </c>
      <c r="B18" s="10" t="s">
        <v>39</v>
      </c>
      <c r="C18" s="10" t="s">
        <v>37</v>
      </c>
      <c r="D18" s="10" t="s">
        <v>40</v>
      </c>
      <c r="E18" s="10">
        <f>2.308*0.46*3</f>
        <v>3.1850399999999999</v>
      </c>
      <c r="F18" s="2">
        <f t="shared" si="0"/>
        <v>1.9484999999999999</v>
      </c>
      <c r="G18" s="11">
        <v>3.3</v>
      </c>
      <c r="H18" s="2">
        <f>+Tabla1[[#This Row],[PVP]]*0.1735</f>
        <v>2.253765</v>
      </c>
      <c r="I18" s="11">
        <f t="shared" ref="I18:I24" si="4">+E18+F18+G18+H18</f>
        <v>10.687305</v>
      </c>
      <c r="J18" s="12">
        <f>+Tabla1[[#This Row],[PVP]]-Tabla1[[#This Row],[Coste final]]+Tabla1[[#This Row],[IVA COMPRA]]</f>
        <v>2.860077</v>
      </c>
      <c r="K18" s="11">
        <v>12.99</v>
      </c>
      <c r="L18" s="13">
        <f>+Tabla1[[#This Row],[Margen]]/Tabla1[[#This Row],[PVP]]</f>
        <v>0.22017528868360275</v>
      </c>
      <c r="M18" s="30">
        <f t="shared" si="2"/>
        <v>0.55738199999999993</v>
      </c>
    </row>
    <row r="19" spans="1:14" x14ac:dyDescent="0.25">
      <c r="A19" s="9" t="s">
        <v>38</v>
      </c>
      <c r="B19" s="10" t="s">
        <v>41</v>
      </c>
      <c r="C19" s="10" t="s">
        <v>42</v>
      </c>
      <c r="D19" s="10" t="s">
        <v>21</v>
      </c>
      <c r="E19" s="10">
        <f>5.136*0.46*3</f>
        <v>7.0876800000000006</v>
      </c>
      <c r="F19" s="2">
        <f t="shared" si="0"/>
        <v>2.5484999999999998</v>
      </c>
      <c r="G19" s="2">
        <v>3.3</v>
      </c>
      <c r="H19" s="2">
        <f>+Tabla1[[#This Row],[PVP]]*0.1735</f>
        <v>2.9477649999999995</v>
      </c>
      <c r="I19" s="2">
        <f t="shared" si="4"/>
        <v>15.883945000000001</v>
      </c>
      <c r="J19" s="12">
        <f>+Tabla1[[#This Row],[PVP]]-Tabla1[[#This Row],[Coste final]]+Tabla1[[#This Row],[IVA COMPRA]]</f>
        <v>2.3463989999999981</v>
      </c>
      <c r="K19" s="2">
        <v>16.989999999999998</v>
      </c>
      <c r="L19" s="13">
        <f>+Tabla1[[#This Row],[Margen]]/Tabla1[[#This Row],[PVP]]</f>
        <v>0.13810470865214822</v>
      </c>
      <c r="M19" s="30">
        <f t="shared" si="2"/>
        <v>1.2403440000000001</v>
      </c>
    </row>
    <row r="20" spans="1:14" x14ac:dyDescent="0.25">
      <c r="A20" s="9" t="s">
        <v>38</v>
      </c>
      <c r="B20" s="10" t="s">
        <v>43</v>
      </c>
      <c r="C20" s="10" t="s">
        <v>44</v>
      </c>
      <c r="D20" s="10" t="s">
        <v>45</v>
      </c>
      <c r="E20" s="10">
        <f>+E3*2+E4*2+E5*2</f>
        <v>8.9718400000000003</v>
      </c>
      <c r="F20" s="2">
        <f t="shared" si="0"/>
        <v>2.9984999999999995</v>
      </c>
      <c r="G20" s="2">
        <v>3.3</v>
      </c>
      <c r="H20" s="2">
        <f>+Tabla1[[#This Row],[PVP]]*0.1735</f>
        <v>3.4682649999999993</v>
      </c>
      <c r="I20" s="11">
        <f t="shared" si="4"/>
        <v>18.738605</v>
      </c>
      <c r="J20" s="12">
        <f>+Tabla1[[#This Row],[PVP]]-Tabla1[[#This Row],[Coste final]]+Tabla1[[#This Row],[IVA COMPRA]]</f>
        <v>2.8214669999999984</v>
      </c>
      <c r="K20" s="11">
        <v>19.989999999999998</v>
      </c>
      <c r="L20" s="13">
        <f>+Tabla1[[#This Row],[Margen]]/Tabla1[[#This Row],[PVP]]</f>
        <v>0.14114392196098041</v>
      </c>
      <c r="M20" s="30">
        <f t="shared" si="2"/>
        <v>1.5700719999999999</v>
      </c>
    </row>
    <row r="21" spans="1:14" x14ac:dyDescent="0.25">
      <c r="A21" s="9">
        <v>8410836223009</v>
      </c>
      <c r="B21" s="10" t="s">
        <v>47</v>
      </c>
      <c r="C21" s="10"/>
      <c r="D21" s="10" t="s">
        <v>46</v>
      </c>
      <c r="E21" s="10">
        <v>6.5</v>
      </c>
      <c r="F21" s="2">
        <f t="shared" si="0"/>
        <v>2.6984999999999997</v>
      </c>
      <c r="G21" s="2">
        <v>3.3</v>
      </c>
      <c r="H21" s="2">
        <f>+Tabla1[[#This Row],[PVP]]*0.1735</f>
        <v>3.1212649999999993</v>
      </c>
      <c r="I21" s="11">
        <f t="shared" si="4"/>
        <v>15.619764999999999</v>
      </c>
      <c r="J21" s="12">
        <f>+Tabla1[[#This Row],[PVP]]-Tabla1[[#This Row],[Coste final]]+Tabla1[[#This Row],[IVA COMPRA]]</f>
        <v>3.5077349999999994</v>
      </c>
      <c r="K21" s="11">
        <v>17.989999999999998</v>
      </c>
      <c r="L21" s="13">
        <f>+Tabla1[[#This Row],[Margen]]/Tabla1[[#This Row],[PVP]]</f>
        <v>0.19498249027237352</v>
      </c>
      <c r="M21" s="30">
        <f t="shared" si="2"/>
        <v>1.1375</v>
      </c>
    </row>
    <row r="22" spans="1:14" x14ac:dyDescent="0.25">
      <c r="A22" s="9">
        <v>8410836223016</v>
      </c>
      <c r="B22" s="10" t="s">
        <v>48</v>
      </c>
      <c r="C22" s="10"/>
      <c r="D22" s="10" t="s">
        <v>62</v>
      </c>
      <c r="E22" s="10">
        <f>+E8*2</f>
        <v>3.4095200000000001</v>
      </c>
      <c r="F22" s="2">
        <f t="shared" si="0"/>
        <v>1.6485000000000001</v>
      </c>
      <c r="G22" s="2">
        <v>3.3</v>
      </c>
      <c r="H22" s="2">
        <f>+Tabla1[[#This Row],[PVP]]*0.1735</f>
        <v>1.9067649999999998</v>
      </c>
      <c r="I22" s="11">
        <f t="shared" si="4"/>
        <v>10.264785</v>
      </c>
      <c r="J22" s="12">
        <f>+Tabla1[[#This Row],[PVP]]-Tabla1[[#This Row],[Coste final]]+Tabla1[[#This Row],[IVA COMPRA]]</f>
        <v>1.3218810000000003</v>
      </c>
      <c r="K22" s="11">
        <v>10.99</v>
      </c>
      <c r="L22" s="13">
        <f>+Tabla1[[#This Row],[Margen]]/Tabla1[[#This Row],[PVP]]</f>
        <v>0.12028034576888083</v>
      </c>
      <c r="M22" s="30">
        <f t="shared" si="2"/>
        <v>0.59666600000000003</v>
      </c>
    </row>
    <row r="23" spans="1:14" x14ac:dyDescent="0.25">
      <c r="A23" s="9">
        <v>8410836223030</v>
      </c>
      <c r="B23" s="10" t="s">
        <v>49</v>
      </c>
      <c r="C23" s="17"/>
      <c r="D23" s="10"/>
      <c r="E23" s="10">
        <f>2.92*0.46+2.82*0.46+2.05*0.46</f>
        <v>3.5833999999999997</v>
      </c>
      <c r="F23" s="2">
        <f t="shared" si="0"/>
        <v>1.7985</v>
      </c>
      <c r="G23" s="2">
        <v>3.3</v>
      </c>
      <c r="H23" s="2">
        <f>+Tabla1[[#This Row],[PVP]]*0.1735</f>
        <v>2.0802649999999998</v>
      </c>
      <c r="I23" s="11">
        <f t="shared" si="4"/>
        <v>10.762165</v>
      </c>
      <c r="J23" s="12">
        <f>+Tabla1[[#This Row],[PVP]]-Tabla1[[#This Row],[Coste final]]+Tabla1[[#This Row],[IVA COMPRA]]</f>
        <v>1.8549300000000006</v>
      </c>
      <c r="K23" s="11">
        <v>11.99</v>
      </c>
      <c r="L23" s="13">
        <f>+Tabla1[[#This Row],[Margen]]/Tabla1[[#This Row],[PVP]]</f>
        <v>0.15470642201834867</v>
      </c>
      <c r="M23" s="30">
        <f t="shared" si="2"/>
        <v>0.62709499999999996</v>
      </c>
    </row>
    <row r="24" spans="1:14" x14ac:dyDescent="0.25">
      <c r="A24" s="9">
        <v>8410836223023</v>
      </c>
      <c r="B24" s="10" t="s">
        <v>50</v>
      </c>
      <c r="C24" s="10"/>
      <c r="D24" s="10"/>
      <c r="E24" s="10">
        <f>+E3*3</f>
        <v>3.1850399999999999</v>
      </c>
      <c r="F24" s="2">
        <f t="shared" si="0"/>
        <v>1.6485000000000001</v>
      </c>
      <c r="G24" s="2">
        <v>3.3</v>
      </c>
      <c r="H24" s="2">
        <f>+Tabla1[[#This Row],[PVP]]*0.1735</f>
        <v>1.9067649999999998</v>
      </c>
      <c r="I24" s="11">
        <f t="shared" si="4"/>
        <v>10.040305</v>
      </c>
      <c r="J24" s="12">
        <f>+Tabla1[[#This Row],[PVP]]-Tabla1[[#This Row],[Coste final]]+Tabla1[[#This Row],[IVA COMPRA]]</f>
        <v>1.5070770000000002</v>
      </c>
      <c r="K24" s="11">
        <v>10.99</v>
      </c>
      <c r="L24" s="13">
        <f>+Tabla1[[#This Row],[Margen]]/Tabla1[[#This Row],[PVP]]</f>
        <v>0.1371316651501365</v>
      </c>
      <c r="M24" s="30">
        <f t="shared" si="2"/>
        <v>0.55738199999999993</v>
      </c>
    </row>
    <row r="28" spans="1:14" x14ac:dyDescent="0.25">
      <c r="A28" s="77" t="s">
        <v>99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</row>
    <row r="29" spans="1:14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6"/>
      <c r="N29" s="26"/>
    </row>
    <row r="30" spans="1:14" ht="27" customHeight="1" x14ac:dyDescent="0.25">
      <c r="A30" s="27">
        <v>8410836223047</v>
      </c>
      <c r="B30" s="25" t="s">
        <v>56</v>
      </c>
      <c r="C30" s="18"/>
      <c r="D30" s="18"/>
      <c r="E30">
        <f>+E2*3</f>
        <v>3.3464999999999998</v>
      </c>
      <c r="F30" s="2">
        <f>+K30*0.15</f>
        <v>1.9484999999999999</v>
      </c>
      <c r="G30" s="2">
        <v>3.3</v>
      </c>
      <c r="H30" s="2">
        <f>+K30*0.1735</f>
        <v>2.253765</v>
      </c>
      <c r="I30" s="19">
        <f t="shared" ref="I30:I41" si="5">+E30+F30+G30+H30</f>
        <v>10.848764999999998</v>
      </c>
      <c r="J30" s="20">
        <f t="shared" ref="J30:J37" si="6">+K30-I30+M30</f>
        <v>2.7268725000000016</v>
      </c>
      <c r="K30" s="19">
        <v>12.99</v>
      </c>
      <c r="L30" s="21">
        <f t="shared" ref="L30:L38" si="7">+J30/K30</f>
        <v>0.20992090069284078</v>
      </c>
      <c r="M30" s="30">
        <f t="shared" ref="M30:M38" si="8">+E30*0.175</f>
        <v>0.58563749999999992</v>
      </c>
    </row>
    <row r="31" spans="1:14" x14ac:dyDescent="0.25">
      <c r="A31" s="27">
        <v>8410836223054</v>
      </c>
      <c r="B31" s="25" t="s">
        <v>57</v>
      </c>
      <c r="C31" s="18"/>
      <c r="D31" s="18"/>
      <c r="E31">
        <f>+E4*3</f>
        <v>3.1850399999999999</v>
      </c>
      <c r="F31" s="2">
        <f t="shared" ref="F31:F39" si="9">+K31*0.15</f>
        <v>1.9484999999999999</v>
      </c>
      <c r="G31" s="2">
        <v>3.3</v>
      </c>
      <c r="H31" s="2">
        <f t="shared" ref="H31:H39" si="10">+K31*0.1735</f>
        <v>2.253765</v>
      </c>
      <c r="I31" s="19">
        <f t="shared" si="5"/>
        <v>10.687305</v>
      </c>
      <c r="J31" s="20">
        <f t="shared" si="6"/>
        <v>2.860077</v>
      </c>
      <c r="K31" s="19">
        <v>12.99</v>
      </c>
      <c r="L31" s="21">
        <f t="shared" si="7"/>
        <v>0.22017528868360275</v>
      </c>
      <c r="M31" s="30">
        <f t="shared" si="8"/>
        <v>0.55738199999999993</v>
      </c>
    </row>
    <row r="32" spans="1:14" x14ac:dyDescent="0.25">
      <c r="A32" s="29">
        <v>8410836223122</v>
      </c>
      <c r="B32" s="25" t="s">
        <v>58</v>
      </c>
      <c r="C32" s="18"/>
      <c r="D32" s="18" t="s">
        <v>66</v>
      </c>
      <c r="E32">
        <f>+E5*2</f>
        <v>4.7251200000000004</v>
      </c>
      <c r="F32" s="2">
        <f t="shared" si="9"/>
        <v>2.2484999999999999</v>
      </c>
      <c r="G32" s="2">
        <v>3.3</v>
      </c>
      <c r="H32" s="2">
        <f t="shared" si="10"/>
        <v>2.600765</v>
      </c>
      <c r="I32" s="19">
        <f t="shared" si="5"/>
        <v>12.874385</v>
      </c>
      <c r="J32" s="20">
        <f t="shared" si="6"/>
        <v>2.9425110000000001</v>
      </c>
      <c r="K32" s="19">
        <v>14.99</v>
      </c>
      <c r="L32" s="21">
        <f t="shared" si="7"/>
        <v>0.19629826551034024</v>
      </c>
      <c r="M32" s="30">
        <f t="shared" si="8"/>
        <v>0.82689600000000008</v>
      </c>
    </row>
    <row r="33" spans="1:13" x14ac:dyDescent="0.25">
      <c r="A33" s="29">
        <v>8410836223061</v>
      </c>
      <c r="B33" s="24" t="s">
        <v>55</v>
      </c>
      <c r="C33" s="18"/>
      <c r="D33" s="18"/>
      <c r="E33">
        <f>+E11*2</f>
        <v>4.23752</v>
      </c>
      <c r="F33" s="2">
        <f t="shared" si="9"/>
        <v>2.0985</v>
      </c>
      <c r="G33" s="2">
        <v>3.3</v>
      </c>
      <c r="H33" s="2">
        <f t="shared" si="10"/>
        <v>2.4272649999999998</v>
      </c>
      <c r="I33" s="19">
        <f t="shared" si="5"/>
        <v>12.063284999999999</v>
      </c>
      <c r="J33" s="20">
        <f t="shared" si="6"/>
        <v>2.6682810000000012</v>
      </c>
      <c r="K33" s="19">
        <v>13.99</v>
      </c>
      <c r="L33" s="21">
        <f t="shared" si="7"/>
        <v>0.19072773409578278</v>
      </c>
      <c r="M33" s="30">
        <f t="shared" si="8"/>
        <v>0.74156599999999995</v>
      </c>
    </row>
    <row r="34" spans="1:13" x14ac:dyDescent="0.25">
      <c r="A34" s="29">
        <v>8410836223078</v>
      </c>
      <c r="B34" t="s">
        <v>54</v>
      </c>
      <c r="C34" s="18"/>
      <c r="D34" s="18" t="s">
        <v>64</v>
      </c>
      <c r="E34">
        <f>+E9*2</f>
        <v>3.2144800000000004</v>
      </c>
      <c r="F34" s="2">
        <f t="shared" si="9"/>
        <v>1.7985</v>
      </c>
      <c r="G34" s="2">
        <v>3.3</v>
      </c>
      <c r="H34" s="2">
        <f t="shared" si="10"/>
        <v>2.0802649999999998</v>
      </c>
      <c r="I34" s="19">
        <f t="shared" si="5"/>
        <v>10.393245</v>
      </c>
      <c r="J34" s="20">
        <f t="shared" si="6"/>
        <v>2.1592890000000002</v>
      </c>
      <c r="K34" s="19">
        <v>11.99</v>
      </c>
      <c r="L34" s="21">
        <f t="shared" si="7"/>
        <v>0.18009082568807341</v>
      </c>
      <c r="M34" s="30">
        <f t="shared" si="8"/>
        <v>0.56253400000000009</v>
      </c>
    </row>
    <row r="35" spans="1:13" x14ac:dyDescent="0.25">
      <c r="A35" s="27">
        <v>8410836223085</v>
      </c>
      <c r="B35" t="s">
        <v>51</v>
      </c>
      <c r="E35">
        <f>+E12*2</f>
        <v>3.5659200000000002</v>
      </c>
      <c r="F35" s="2">
        <f t="shared" si="9"/>
        <v>1.7985</v>
      </c>
      <c r="G35" s="2">
        <v>3.3</v>
      </c>
      <c r="H35" s="2">
        <f t="shared" si="10"/>
        <v>2.0802649999999998</v>
      </c>
      <c r="I35" s="19">
        <f t="shared" si="5"/>
        <v>10.744685</v>
      </c>
      <c r="J35" s="20">
        <f t="shared" si="6"/>
        <v>1.8693509999999998</v>
      </c>
      <c r="K35" s="19">
        <v>11.99</v>
      </c>
      <c r="L35" s="21">
        <f t="shared" si="7"/>
        <v>0.15590917431192658</v>
      </c>
      <c r="M35" s="30">
        <f t="shared" si="8"/>
        <v>0.62403600000000004</v>
      </c>
    </row>
    <row r="36" spans="1:13" x14ac:dyDescent="0.25">
      <c r="A36" s="27">
        <v>8410836223092</v>
      </c>
      <c r="B36" t="s">
        <v>52</v>
      </c>
      <c r="E36">
        <f>+E10*2</f>
        <v>3.4095200000000001</v>
      </c>
      <c r="F36" s="2">
        <f t="shared" si="9"/>
        <v>1.7985</v>
      </c>
      <c r="G36" s="2">
        <v>3.3</v>
      </c>
      <c r="H36" s="2">
        <f t="shared" si="10"/>
        <v>2.0802649999999998</v>
      </c>
      <c r="I36" s="19">
        <f t="shared" si="5"/>
        <v>10.588284999999999</v>
      </c>
      <c r="J36" s="20">
        <f t="shared" si="6"/>
        <v>1.9983810000000011</v>
      </c>
      <c r="K36" s="19">
        <v>11.99</v>
      </c>
      <c r="L36" s="21">
        <f t="shared" si="7"/>
        <v>0.16667064220183495</v>
      </c>
      <c r="M36" s="30">
        <f t="shared" si="8"/>
        <v>0.59666600000000003</v>
      </c>
    </row>
    <row r="37" spans="1:13" x14ac:dyDescent="0.25">
      <c r="A37" s="29">
        <v>8410836223108</v>
      </c>
      <c r="B37" t="s">
        <v>53</v>
      </c>
      <c r="D37" s="18" t="s">
        <v>65</v>
      </c>
      <c r="E37">
        <f>+E13*2</f>
        <v>6.3314399999999997</v>
      </c>
      <c r="F37" s="2">
        <f t="shared" si="9"/>
        <v>2.5484999999999998</v>
      </c>
      <c r="G37" s="2">
        <v>3.3</v>
      </c>
      <c r="H37" s="2">
        <f t="shared" si="10"/>
        <v>2.9477649999999995</v>
      </c>
      <c r="I37" s="19">
        <f t="shared" si="5"/>
        <v>15.127704999999999</v>
      </c>
      <c r="J37" s="20">
        <f t="shared" si="6"/>
        <v>2.9702969999999995</v>
      </c>
      <c r="K37" s="19">
        <v>16.989999999999998</v>
      </c>
      <c r="L37" s="21">
        <f t="shared" si="7"/>
        <v>0.17482619187757503</v>
      </c>
      <c r="M37" s="30">
        <f t="shared" si="8"/>
        <v>1.1080019999999999</v>
      </c>
    </row>
    <row r="38" spans="1:13" x14ac:dyDescent="0.25">
      <c r="A38" s="29">
        <v>8410836223115</v>
      </c>
      <c r="B38" t="s">
        <v>68</v>
      </c>
      <c r="D38" s="18" t="s">
        <v>67</v>
      </c>
      <c r="E38">
        <f>+(E8*2)+(E6*2)+(E10*2)</f>
        <v>12.950840000000001</v>
      </c>
      <c r="F38" s="2">
        <f t="shared" si="9"/>
        <v>4.0484999999999998</v>
      </c>
      <c r="G38" s="2">
        <v>4</v>
      </c>
      <c r="H38" s="2">
        <f t="shared" si="10"/>
        <v>4.682764999999999</v>
      </c>
      <c r="I38" s="19">
        <f t="shared" si="5"/>
        <v>25.682105</v>
      </c>
      <c r="J38" s="20">
        <f>+K38-I38+M38</f>
        <v>3.5742919999999985</v>
      </c>
      <c r="K38" s="19">
        <v>26.99</v>
      </c>
      <c r="L38" s="21">
        <f t="shared" si="7"/>
        <v>0.13243023341978505</v>
      </c>
      <c r="M38" s="30">
        <f t="shared" si="8"/>
        <v>2.266397</v>
      </c>
    </row>
    <row r="39" spans="1:13" x14ac:dyDescent="0.25">
      <c r="B39" t="s">
        <v>69</v>
      </c>
      <c r="E39">
        <v>3.49</v>
      </c>
      <c r="F39" s="2">
        <f t="shared" si="9"/>
        <v>1.6485000000000001</v>
      </c>
      <c r="G39" s="2">
        <v>3.3</v>
      </c>
      <c r="H39" s="2">
        <f t="shared" si="10"/>
        <v>1.9067649999999998</v>
      </c>
      <c r="I39" s="19">
        <f t="shared" si="5"/>
        <v>10.345265000000001</v>
      </c>
      <c r="J39" s="20">
        <f>+K39-I39+M39</f>
        <v>1.2554849999999989</v>
      </c>
      <c r="K39" s="19">
        <v>10.99</v>
      </c>
      <c r="L39" s="21">
        <f>+J39/K39</f>
        <v>0.11423885350318461</v>
      </c>
      <c r="M39" s="30">
        <f>+E39*0.175</f>
        <v>0.61075000000000002</v>
      </c>
    </row>
    <row r="40" spans="1:13" x14ac:dyDescent="0.25">
      <c r="A40" s="29">
        <v>8410836223573</v>
      </c>
      <c r="B40" t="s">
        <v>120</v>
      </c>
      <c r="E40">
        <f>3.49*2</f>
        <v>6.98</v>
      </c>
      <c r="F40" s="2">
        <f>+K40*0.15</f>
        <v>2.5484999999999998</v>
      </c>
      <c r="G40" s="2">
        <v>4</v>
      </c>
      <c r="H40" s="2">
        <f>+K40*0.1735</f>
        <v>2.9477649999999995</v>
      </c>
      <c r="I40" s="19">
        <f>+E40+F40+G40+H40</f>
        <v>16.476265000000001</v>
      </c>
      <c r="J40" s="20">
        <f>+K40-I40+M40</f>
        <v>1.735234999999997</v>
      </c>
      <c r="K40" s="19">
        <v>16.989999999999998</v>
      </c>
      <c r="L40" s="21">
        <f>+J40/K40</f>
        <v>0.10213272513243067</v>
      </c>
      <c r="M40" s="30">
        <f>+E40*0.175</f>
        <v>1.2215</v>
      </c>
    </row>
    <row r="41" spans="1:13" x14ac:dyDescent="0.25">
      <c r="B41" t="s">
        <v>71</v>
      </c>
      <c r="E41">
        <v>1.3</v>
      </c>
      <c r="F41" s="2">
        <f>+K41*0.08</f>
        <v>0.47920000000000001</v>
      </c>
      <c r="G41" s="2">
        <v>3</v>
      </c>
      <c r="H41" s="2">
        <f>+K41*0.1735</f>
        <v>1.0392649999999999</v>
      </c>
      <c r="I41" s="19">
        <f t="shared" si="5"/>
        <v>5.8184649999999998</v>
      </c>
      <c r="J41" s="20">
        <f>+K41-I41+M41</f>
        <v>0.39903500000000042</v>
      </c>
      <c r="K41" s="19">
        <v>5.99</v>
      </c>
      <c r="L41" s="21">
        <f>+J41/K41</f>
        <v>6.6616861435726274E-2</v>
      </c>
      <c r="M41" s="30">
        <f>+E41*0.175</f>
        <v>0.22749999999999998</v>
      </c>
    </row>
    <row r="43" spans="1:13" x14ac:dyDescent="0.25">
      <c r="A43" s="78" t="s">
        <v>91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spans="1:13" x14ac:dyDescent="0.25">
      <c r="A44" s="35">
        <v>8410836205128</v>
      </c>
      <c r="B44" t="s">
        <v>92</v>
      </c>
      <c r="D44">
        <v>5128</v>
      </c>
      <c r="E44">
        <f>2.7*0.3</f>
        <v>0.81</v>
      </c>
      <c r="F44" s="2">
        <f t="shared" ref="F44:F50" si="11">+K44*0.15</f>
        <v>1.4984999999999999</v>
      </c>
      <c r="G44">
        <v>3.3</v>
      </c>
      <c r="H44" s="2">
        <v>1.8200149999999999</v>
      </c>
      <c r="I44" s="19">
        <f t="shared" ref="I44:I50" si="12">+E44+F44+G44+H44</f>
        <v>7.4285149999999991</v>
      </c>
      <c r="J44" s="20">
        <f>+K44-I44+M44</f>
        <v>2.7032350000000012</v>
      </c>
      <c r="K44" s="19">
        <v>9.99</v>
      </c>
      <c r="L44" s="21">
        <f t="shared" ref="L44:L50" si="13">+J44/K44</f>
        <v>0.27059409409409418</v>
      </c>
      <c r="M44" s="30">
        <f t="shared" ref="M44:M50" si="14">+E44*0.175</f>
        <v>0.14174999999999999</v>
      </c>
    </row>
    <row r="45" spans="1:13" x14ac:dyDescent="0.25">
      <c r="A45" s="35">
        <v>8410836000013</v>
      </c>
      <c r="B45" t="s">
        <v>93</v>
      </c>
      <c r="D45">
        <v>6013</v>
      </c>
      <c r="E45">
        <f>4.02*0.3</f>
        <v>1.2059999999999997</v>
      </c>
      <c r="F45" s="2">
        <f t="shared" si="11"/>
        <v>1.4984999999999999</v>
      </c>
      <c r="G45">
        <v>3.3</v>
      </c>
      <c r="H45" s="2">
        <v>1.8200149999999999</v>
      </c>
      <c r="I45" s="19">
        <f t="shared" si="12"/>
        <v>7.824514999999999</v>
      </c>
      <c r="J45" s="20">
        <f t="shared" ref="J45:J50" si="15">+K45-I45+M45</f>
        <v>2.376535000000001</v>
      </c>
      <c r="K45" s="19">
        <v>9.99</v>
      </c>
      <c r="L45" s="21">
        <f t="shared" si="13"/>
        <v>0.23789139139139148</v>
      </c>
      <c r="M45" s="30">
        <f t="shared" si="14"/>
        <v>0.21104999999999993</v>
      </c>
    </row>
    <row r="46" spans="1:13" x14ac:dyDescent="0.25">
      <c r="A46" s="35">
        <v>8410836000037</v>
      </c>
      <c r="B46" t="s">
        <v>94</v>
      </c>
      <c r="D46">
        <v>6037</v>
      </c>
      <c r="E46">
        <f>1.482*0.3</f>
        <v>0.4446</v>
      </c>
      <c r="F46" s="2">
        <f t="shared" si="11"/>
        <v>1.4984999999999999</v>
      </c>
      <c r="G46">
        <v>3.3</v>
      </c>
      <c r="H46" s="2">
        <v>1.8200149999999999</v>
      </c>
      <c r="I46" s="19">
        <f t="shared" si="12"/>
        <v>7.0631149999999998</v>
      </c>
      <c r="J46" s="20">
        <f t="shared" si="15"/>
        <v>3.0046900000000005</v>
      </c>
      <c r="K46" s="19">
        <v>9.99</v>
      </c>
      <c r="L46" s="21">
        <f t="shared" si="13"/>
        <v>0.30076976976976982</v>
      </c>
      <c r="M46" s="30">
        <f t="shared" si="14"/>
        <v>7.7804999999999999E-2</v>
      </c>
    </row>
    <row r="47" spans="1:13" x14ac:dyDescent="0.25">
      <c r="A47" s="35">
        <v>8410836000020</v>
      </c>
      <c r="B47" t="s">
        <v>95</v>
      </c>
      <c r="D47">
        <v>6020</v>
      </c>
      <c r="E47">
        <f>2.329*0.3</f>
        <v>0.69869999999999999</v>
      </c>
      <c r="F47" s="2">
        <f t="shared" si="11"/>
        <v>1.4984999999999999</v>
      </c>
      <c r="G47">
        <v>3.3</v>
      </c>
      <c r="H47" s="2">
        <v>1.8200149999999999</v>
      </c>
      <c r="I47" s="19">
        <f t="shared" si="12"/>
        <v>7.3172149999999991</v>
      </c>
      <c r="J47" s="20">
        <f t="shared" si="15"/>
        <v>2.7950575000000009</v>
      </c>
      <c r="K47" s="19">
        <v>9.99</v>
      </c>
      <c r="L47" s="21">
        <f t="shared" si="13"/>
        <v>0.27978553553553559</v>
      </c>
      <c r="M47" s="30">
        <f t="shared" si="14"/>
        <v>0.12227249999999999</v>
      </c>
    </row>
    <row r="48" spans="1:13" x14ac:dyDescent="0.25">
      <c r="A48" s="35">
        <v>8410836223399</v>
      </c>
      <c r="B48" t="s">
        <v>96</v>
      </c>
      <c r="D48">
        <v>3399</v>
      </c>
      <c r="E48">
        <f>+E45+E47</f>
        <v>1.9046999999999996</v>
      </c>
      <c r="F48" s="2">
        <f t="shared" si="11"/>
        <v>1.4984999999999999</v>
      </c>
      <c r="G48">
        <v>3.3</v>
      </c>
      <c r="H48" s="2">
        <v>1.8200149999999999</v>
      </c>
      <c r="I48" s="19">
        <f t="shared" si="12"/>
        <v>8.5232149999999987</v>
      </c>
      <c r="J48" s="20">
        <f t="shared" si="15"/>
        <v>1.8001075000000015</v>
      </c>
      <c r="K48" s="19">
        <v>9.99</v>
      </c>
      <c r="L48" s="21">
        <f t="shared" si="13"/>
        <v>0.1801909409409411</v>
      </c>
      <c r="M48" s="30">
        <f t="shared" si="14"/>
        <v>0.33332249999999991</v>
      </c>
    </row>
    <row r="49" spans="1:14" x14ac:dyDescent="0.25">
      <c r="A49" s="35">
        <v>8410836223405</v>
      </c>
      <c r="B49" t="s">
        <v>97</v>
      </c>
      <c r="D49">
        <v>3405</v>
      </c>
      <c r="E49">
        <f>+E45+E47*2</f>
        <v>2.6033999999999997</v>
      </c>
      <c r="F49" s="2">
        <f t="shared" si="11"/>
        <v>1.6485000000000001</v>
      </c>
      <c r="G49">
        <v>3.3</v>
      </c>
      <c r="H49" s="2">
        <v>1.8200149999999999</v>
      </c>
      <c r="I49" s="19">
        <f t="shared" si="12"/>
        <v>9.3719149999999996</v>
      </c>
      <c r="J49" s="20">
        <f t="shared" si="15"/>
        <v>2.0736800000000004</v>
      </c>
      <c r="K49" s="19">
        <v>10.99</v>
      </c>
      <c r="L49" s="21">
        <f t="shared" si="13"/>
        <v>0.188687898089172</v>
      </c>
      <c r="M49" s="30">
        <f t="shared" si="14"/>
        <v>0.45559499999999992</v>
      </c>
    </row>
    <row r="50" spans="1:14" x14ac:dyDescent="0.25">
      <c r="A50" s="35">
        <v>8410836223412</v>
      </c>
      <c r="B50" t="s">
        <v>98</v>
      </c>
      <c r="D50">
        <v>3412</v>
      </c>
      <c r="E50">
        <f>+E45+(E47*3)</f>
        <v>3.3020999999999994</v>
      </c>
      <c r="F50" s="2">
        <f t="shared" si="11"/>
        <v>1.7985</v>
      </c>
      <c r="G50">
        <v>3.3</v>
      </c>
      <c r="H50" s="2">
        <v>1.8200149999999999</v>
      </c>
      <c r="I50" s="19">
        <f t="shared" si="12"/>
        <v>10.220614999999999</v>
      </c>
      <c r="J50" s="20">
        <f t="shared" si="15"/>
        <v>2.3472525000000015</v>
      </c>
      <c r="K50" s="19">
        <v>11.99</v>
      </c>
      <c r="L50" s="21">
        <f t="shared" si="13"/>
        <v>0.19576751459549638</v>
      </c>
      <c r="M50" s="30">
        <f t="shared" si="14"/>
        <v>0.57786749999999987</v>
      </c>
    </row>
    <row r="55" spans="1:14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</row>
    <row r="56" spans="1:14" x14ac:dyDescent="0.25">
      <c r="A56" s="35"/>
      <c r="B56" t="s">
        <v>232</v>
      </c>
      <c r="E56">
        <f>4.27*0.5*2</f>
        <v>4.2699999999999996</v>
      </c>
      <c r="F56" s="2">
        <f>+K56*0.15</f>
        <v>1.9484999999999999</v>
      </c>
      <c r="G56">
        <v>3.3</v>
      </c>
      <c r="H56" s="2">
        <v>1.8200149999999999</v>
      </c>
      <c r="I56" s="19">
        <f t="shared" ref="I56:I62" si="16">+E56+F56+G56+H56</f>
        <v>11.338514999999999</v>
      </c>
      <c r="J56" s="20">
        <f>+K56-I56+M56</f>
        <v>2.3987350000000007</v>
      </c>
      <c r="K56" s="19">
        <v>12.99</v>
      </c>
      <c r="L56" s="21">
        <f t="shared" ref="L56:L62" si="17">+J56/K56</f>
        <v>0.18466012317167058</v>
      </c>
      <c r="M56" s="30">
        <f t="shared" ref="M56:M62" si="18">+E56*0.175</f>
        <v>0.74724999999999986</v>
      </c>
    </row>
    <row r="57" spans="1:14" x14ac:dyDescent="0.25">
      <c r="A57" s="35"/>
      <c r="B57" t="s">
        <v>233</v>
      </c>
      <c r="E57">
        <f>3.75*0.5*2</f>
        <v>3.75</v>
      </c>
      <c r="F57" s="2">
        <f>+K57*0.15</f>
        <v>10.574999999999999</v>
      </c>
      <c r="G57">
        <v>6</v>
      </c>
      <c r="H57" s="2">
        <v>1.8200149999999999</v>
      </c>
      <c r="I57" s="19">
        <f t="shared" si="16"/>
        <v>22.145015000000001</v>
      </c>
      <c r="J57" s="20">
        <f t="shared" ref="J57:J62" si="19">+K57-I57+M57</f>
        <v>49.011234999999999</v>
      </c>
      <c r="K57" s="19">
        <f>11.75*6</f>
        <v>70.5</v>
      </c>
      <c r="L57" s="21">
        <f t="shared" si="17"/>
        <v>0.69519482269503541</v>
      </c>
      <c r="M57" s="30">
        <f t="shared" si="18"/>
        <v>0.65625</v>
      </c>
    </row>
    <row r="58" spans="1:14" x14ac:dyDescent="0.25">
      <c r="A58" s="35"/>
      <c r="B58" t="s">
        <v>234</v>
      </c>
      <c r="E58">
        <f>+E57*0.5</f>
        <v>1.875</v>
      </c>
      <c r="F58" s="2">
        <f t="shared" ref="F58:F62" si="20">+K58*0.15</f>
        <v>1.4235</v>
      </c>
      <c r="G58">
        <v>3.3</v>
      </c>
      <c r="H58" s="2">
        <v>1.8200149999999999</v>
      </c>
      <c r="I58" s="19">
        <f t="shared" si="16"/>
        <v>8.4185149999999993</v>
      </c>
      <c r="J58" s="20">
        <f t="shared" si="19"/>
        <v>1.3996100000000009</v>
      </c>
      <c r="K58" s="19">
        <v>9.49</v>
      </c>
      <c r="L58" s="21">
        <f t="shared" si="17"/>
        <v>0.14748261327713391</v>
      </c>
      <c r="M58" s="30">
        <f t="shared" si="18"/>
        <v>0.328125</v>
      </c>
    </row>
    <row r="59" spans="1:14" x14ac:dyDescent="0.25">
      <c r="A59" s="35"/>
      <c r="B59" t="s">
        <v>235</v>
      </c>
      <c r="E59">
        <v>6.18</v>
      </c>
      <c r="F59" s="2">
        <f t="shared" si="20"/>
        <v>2.3984999999999999</v>
      </c>
      <c r="G59">
        <v>2.8</v>
      </c>
      <c r="H59" s="2">
        <v>1.8200149999999999</v>
      </c>
      <c r="I59" s="19">
        <f t="shared" si="16"/>
        <v>13.198514999999999</v>
      </c>
      <c r="J59" s="20">
        <f>+K59-I59+M59</f>
        <v>3.8729850000000017</v>
      </c>
      <c r="K59" s="19">
        <v>15.99</v>
      </c>
      <c r="L59" s="21">
        <f t="shared" si="17"/>
        <v>0.24221294559099446</v>
      </c>
      <c r="M59" s="30">
        <f t="shared" si="18"/>
        <v>1.0814999999999999</v>
      </c>
      <c r="N59">
        <f>+K59*0.94</f>
        <v>15.0306</v>
      </c>
    </row>
    <row r="60" spans="1:14" x14ac:dyDescent="0.25">
      <c r="A60" s="35"/>
      <c r="B60" t="s">
        <v>236</v>
      </c>
      <c r="E60">
        <v>2.8</v>
      </c>
      <c r="F60" s="2">
        <f t="shared" si="20"/>
        <v>1.7985</v>
      </c>
      <c r="G60">
        <v>3.3</v>
      </c>
      <c r="H60" s="2">
        <v>1.8200149999999999</v>
      </c>
      <c r="I60" s="19">
        <f t="shared" si="16"/>
        <v>9.718515</v>
      </c>
      <c r="J60" s="20">
        <f t="shared" si="19"/>
        <v>2.761485</v>
      </c>
      <c r="K60" s="19">
        <v>11.99</v>
      </c>
      <c r="L60" s="21">
        <f t="shared" si="17"/>
        <v>0.23031567973311093</v>
      </c>
      <c r="M60" s="30">
        <f t="shared" si="18"/>
        <v>0.48999999999999994</v>
      </c>
    </row>
    <row r="61" spans="1:14" x14ac:dyDescent="0.25">
      <c r="A61" s="35"/>
      <c r="F61" s="2">
        <f t="shared" si="20"/>
        <v>1.4984999999999999</v>
      </c>
      <c r="G61">
        <v>3.3</v>
      </c>
      <c r="H61" s="2">
        <v>1.8200149999999999</v>
      </c>
      <c r="I61" s="19">
        <f t="shared" si="16"/>
        <v>6.6185149999999995</v>
      </c>
      <c r="J61" s="20">
        <f t="shared" si="19"/>
        <v>3.3714850000000007</v>
      </c>
      <c r="K61" s="19">
        <v>9.99</v>
      </c>
      <c r="L61" s="21">
        <f t="shared" si="17"/>
        <v>0.33748598598598606</v>
      </c>
      <c r="M61" s="30">
        <f t="shared" si="18"/>
        <v>0</v>
      </c>
    </row>
    <row r="62" spans="1:14" x14ac:dyDescent="0.25">
      <c r="A62" s="35"/>
      <c r="F62" s="2">
        <f t="shared" si="20"/>
        <v>1.6485000000000001</v>
      </c>
      <c r="G62">
        <v>3.3</v>
      </c>
      <c r="H62" s="2">
        <v>1.8200149999999999</v>
      </c>
      <c r="I62" s="19">
        <f t="shared" si="16"/>
        <v>6.7685149999999998</v>
      </c>
      <c r="J62" s="20">
        <f t="shared" si="19"/>
        <v>4.2214850000000004</v>
      </c>
      <c r="K62" s="19">
        <v>10.99</v>
      </c>
      <c r="L62" s="21">
        <f t="shared" si="17"/>
        <v>0.38412056414922657</v>
      </c>
      <c r="M62" s="30">
        <f t="shared" si="18"/>
        <v>0</v>
      </c>
    </row>
  </sheetData>
  <mergeCells count="3">
    <mergeCell ref="A28:L28"/>
    <mergeCell ref="A43:M43"/>
    <mergeCell ref="A55:M5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0442-7BCE-4A0E-83CE-6BAA3FC5BA86}">
  <dimension ref="A1:O46"/>
  <sheetViews>
    <sheetView tabSelected="1" topLeftCell="A4" workbookViewId="0">
      <selection activeCell="H39" sqref="H39"/>
    </sheetView>
  </sheetViews>
  <sheetFormatPr baseColWidth="10" defaultRowHeight="15" x14ac:dyDescent="0.25"/>
  <cols>
    <col min="1" max="1" width="14" bestFit="1" customWidth="1"/>
    <col min="2" max="2" width="41.42578125" customWidth="1"/>
    <col min="3" max="3" width="15.28515625" customWidth="1"/>
    <col min="13" max="13" width="12.28515625" bestFit="1" customWidth="1"/>
  </cols>
  <sheetData>
    <row r="1" spans="1:15" x14ac:dyDescent="0.25">
      <c r="A1" s="79" t="s">
        <v>72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5" x14ac:dyDescent="0.25">
      <c r="A2" s="36" t="s">
        <v>9</v>
      </c>
      <c r="B2" s="36" t="s">
        <v>107</v>
      </c>
      <c r="C2" s="36" t="s">
        <v>17</v>
      </c>
      <c r="D2" s="36" t="s">
        <v>0</v>
      </c>
      <c r="E2" s="37" t="s">
        <v>1</v>
      </c>
      <c r="F2" s="37" t="s">
        <v>2</v>
      </c>
      <c r="G2" s="37" t="s">
        <v>3</v>
      </c>
      <c r="H2" s="38" t="s">
        <v>4</v>
      </c>
      <c r="I2" s="37" t="s">
        <v>5</v>
      </c>
      <c r="J2" s="37" t="s">
        <v>6</v>
      </c>
      <c r="K2" s="37" t="s">
        <v>7</v>
      </c>
      <c r="L2" s="39" t="s">
        <v>8</v>
      </c>
      <c r="M2" s="6" t="s">
        <v>70</v>
      </c>
      <c r="N2" s="6" t="s">
        <v>105</v>
      </c>
      <c r="O2" s="36" t="s">
        <v>103</v>
      </c>
    </row>
    <row r="3" spans="1:15" x14ac:dyDescent="0.25">
      <c r="A3" s="40">
        <v>8410836223733</v>
      </c>
      <c r="B3" t="s">
        <v>73</v>
      </c>
      <c r="C3" t="s">
        <v>35</v>
      </c>
      <c r="D3">
        <v>2675</v>
      </c>
      <c r="E3">
        <f>3.6*0.4</f>
        <v>1.4400000000000002</v>
      </c>
      <c r="F3" s="31">
        <f>+K3*0.08</f>
        <v>0.71920000000000006</v>
      </c>
      <c r="G3">
        <v>2.97</v>
      </c>
      <c r="H3" s="31">
        <v>1.8200149999999999</v>
      </c>
      <c r="I3" s="32">
        <f t="shared" ref="I3:I8" si="0">+E3+F3+G3+H3</f>
        <v>6.9492150000000006</v>
      </c>
      <c r="J3" s="33">
        <f t="shared" ref="J3:J8" si="1">+K3-I3+M3</f>
        <v>2.2927849999999994</v>
      </c>
      <c r="K3" s="19">
        <v>8.99</v>
      </c>
      <c r="L3" s="34">
        <f t="shared" ref="L3:L8" si="2">+J3/K3</f>
        <v>0.25503726362625134</v>
      </c>
      <c r="M3" s="30">
        <f t="shared" ref="M3:M11" si="3">+E3*0.175</f>
        <v>0.252</v>
      </c>
      <c r="N3" s="18" t="s">
        <v>109</v>
      </c>
      <c r="O3" t="s">
        <v>104</v>
      </c>
    </row>
    <row r="4" spans="1:15" x14ac:dyDescent="0.25">
      <c r="A4" s="55">
        <v>8410836223740</v>
      </c>
      <c r="B4" t="s">
        <v>74</v>
      </c>
      <c r="C4" t="s">
        <v>35</v>
      </c>
      <c r="D4">
        <v>2682</v>
      </c>
      <c r="E4">
        <f>2.75*0.4</f>
        <v>1.1000000000000001</v>
      </c>
      <c r="F4" s="31">
        <f t="shared" ref="F4:F8" si="4">+K4*0.08</f>
        <v>0.71920000000000006</v>
      </c>
      <c r="G4">
        <v>2.97</v>
      </c>
      <c r="H4" s="2">
        <v>1.8200149999999999</v>
      </c>
      <c r="I4" s="19">
        <f t="shared" si="0"/>
        <v>6.6092149999999998</v>
      </c>
      <c r="J4" s="33">
        <f t="shared" si="1"/>
        <v>2.5732850000000003</v>
      </c>
      <c r="K4" s="19">
        <v>8.99</v>
      </c>
      <c r="L4" s="21">
        <f t="shared" si="2"/>
        <v>0.28623859844271415</v>
      </c>
      <c r="M4" s="30">
        <f t="shared" si="3"/>
        <v>0.1925</v>
      </c>
      <c r="N4" s="18" t="s">
        <v>109</v>
      </c>
      <c r="O4" t="s">
        <v>104</v>
      </c>
    </row>
    <row r="5" spans="1:15" x14ac:dyDescent="0.25">
      <c r="A5" s="40">
        <v>8410836223726</v>
      </c>
      <c r="B5" t="s">
        <v>75</v>
      </c>
      <c r="C5" t="s">
        <v>35</v>
      </c>
      <c r="D5">
        <v>2644</v>
      </c>
      <c r="E5">
        <f>3.8*0.4</f>
        <v>1.52</v>
      </c>
      <c r="F5" s="31">
        <f t="shared" si="4"/>
        <v>0.71920000000000006</v>
      </c>
      <c r="G5">
        <v>2.97</v>
      </c>
      <c r="H5" s="2">
        <v>1.8200149999999999</v>
      </c>
      <c r="I5" s="19">
        <f t="shared" si="0"/>
        <v>7.0292150000000007</v>
      </c>
      <c r="J5" s="33">
        <f t="shared" si="1"/>
        <v>2.2267849999999996</v>
      </c>
      <c r="K5" s="19">
        <v>8.99</v>
      </c>
      <c r="L5" s="21">
        <f t="shared" si="2"/>
        <v>0.24769577308120128</v>
      </c>
      <c r="M5" s="30">
        <f t="shared" si="3"/>
        <v>0.26599999999999996</v>
      </c>
      <c r="N5" s="18" t="s">
        <v>109</v>
      </c>
      <c r="O5" t="s">
        <v>104</v>
      </c>
    </row>
    <row r="6" spans="1:15" x14ac:dyDescent="0.25">
      <c r="A6" s="40">
        <v>8410836223702</v>
      </c>
      <c r="B6" t="s">
        <v>76</v>
      </c>
      <c r="C6" t="s">
        <v>35</v>
      </c>
      <c r="D6">
        <v>2699</v>
      </c>
      <c r="E6">
        <f>(3*0.4)</f>
        <v>1.2000000000000002</v>
      </c>
      <c r="F6" s="31">
        <f t="shared" si="4"/>
        <v>0.71920000000000006</v>
      </c>
      <c r="G6">
        <v>2.97</v>
      </c>
      <c r="H6" s="2">
        <v>1.8200149999999999</v>
      </c>
      <c r="I6" s="19">
        <f t="shared" si="0"/>
        <v>6.7092150000000004</v>
      </c>
      <c r="J6" s="33">
        <f t="shared" si="1"/>
        <v>2.4907849999999998</v>
      </c>
      <c r="K6" s="19">
        <v>8.99</v>
      </c>
      <c r="L6" s="21">
        <f t="shared" si="2"/>
        <v>0.27706173526140154</v>
      </c>
      <c r="M6" s="30">
        <f t="shared" si="3"/>
        <v>0.21000000000000002</v>
      </c>
      <c r="N6" s="18" t="s">
        <v>109</v>
      </c>
      <c r="O6" t="s">
        <v>104</v>
      </c>
    </row>
    <row r="7" spans="1:15" x14ac:dyDescent="0.25">
      <c r="A7" s="40">
        <v>8410836223757</v>
      </c>
      <c r="B7" t="s">
        <v>77</v>
      </c>
      <c r="C7" t="s">
        <v>35</v>
      </c>
      <c r="D7">
        <v>2668</v>
      </c>
      <c r="E7">
        <f>3*0.4</f>
        <v>1.2000000000000002</v>
      </c>
      <c r="F7" s="31">
        <f t="shared" si="4"/>
        <v>0.71920000000000006</v>
      </c>
      <c r="G7">
        <v>2.97</v>
      </c>
      <c r="H7" s="2">
        <v>1.8200149999999999</v>
      </c>
      <c r="I7" s="19">
        <f t="shared" si="0"/>
        <v>6.7092150000000004</v>
      </c>
      <c r="J7" s="33">
        <f t="shared" si="1"/>
        <v>2.4907849999999998</v>
      </c>
      <c r="K7" s="19">
        <v>8.99</v>
      </c>
      <c r="L7" s="21">
        <f t="shared" si="2"/>
        <v>0.27706173526140154</v>
      </c>
      <c r="M7" s="30">
        <f t="shared" si="3"/>
        <v>0.21000000000000002</v>
      </c>
      <c r="N7" s="18" t="s">
        <v>109</v>
      </c>
      <c r="O7" t="s">
        <v>104</v>
      </c>
    </row>
    <row r="8" spans="1:15" x14ac:dyDescent="0.25">
      <c r="A8" s="40">
        <v>8410836223719</v>
      </c>
      <c r="B8" t="s">
        <v>78</v>
      </c>
      <c r="C8" t="s">
        <v>35</v>
      </c>
      <c r="D8">
        <v>2651</v>
      </c>
      <c r="E8">
        <f>2.88*0.4</f>
        <v>1.1519999999999999</v>
      </c>
      <c r="F8" s="31">
        <f t="shared" si="4"/>
        <v>0.71920000000000006</v>
      </c>
      <c r="G8">
        <v>2.97</v>
      </c>
      <c r="H8" s="2">
        <v>1.8200149999999999</v>
      </c>
      <c r="I8" s="19">
        <f t="shared" si="0"/>
        <v>6.6612150000000003</v>
      </c>
      <c r="J8" s="33">
        <f t="shared" si="1"/>
        <v>2.5303849999999999</v>
      </c>
      <c r="K8" s="19">
        <v>8.99</v>
      </c>
      <c r="L8" s="21">
        <f t="shared" si="2"/>
        <v>0.28146662958843155</v>
      </c>
      <c r="M8" s="30">
        <f t="shared" si="3"/>
        <v>0.20159999999999997</v>
      </c>
      <c r="N8" s="18" t="s">
        <v>109</v>
      </c>
      <c r="O8" t="s">
        <v>104</v>
      </c>
    </row>
    <row r="9" spans="1:15" x14ac:dyDescent="0.25">
      <c r="A9" s="80" t="s">
        <v>82</v>
      </c>
      <c r="B9" s="80"/>
      <c r="C9" s="80"/>
      <c r="D9" s="80"/>
      <c r="E9" s="80"/>
      <c r="F9" s="80"/>
      <c r="G9" s="80"/>
      <c r="H9" s="80"/>
      <c r="I9" s="80"/>
      <c r="J9" s="80"/>
      <c r="K9" s="80"/>
      <c r="M9" s="30"/>
      <c r="N9" s="18"/>
    </row>
    <row r="10" spans="1:15" ht="19.5" customHeight="1" x14ac:dyDescent="0.25">
      <c r="A10" s="40">
        <v>8410836223429</v>
      </c>
      <c r="B10" t="s">
        <v>79</v>
      </c>
      <c r="C10" t="s">
        <v>106</v>
      </c>
      <c r="D10">
        <v>3429</v>
      </c>
      <c r="E10">
        <f>+E3+E4</f>
        <v>2.54</v>
      </c>
      <c r="F10" s="31">
        <f>+K10*0.15</f>
        <v>2.2484999999999999</v>
      </c>
      <c r="G10">
        <v>3.3</v>
      </c>
      <c r="H10" s="2">
        <f>+K10*0.21</f>
        <v>3.1478999999999999</v>
      </c>
      <c r="I10" s="19">
        <f>+E10+F10+G10+H10</f>
        <v>11.2364</v>
      </c>
      <c r="J10" s="33">
        <f>+K10-I10+M10</f>
        <v>4.1981000000000002</v>
      </c>
      <c r="K10" s="19">
        <v>14.99</v>
      </c>
      <c r="L10" s="21">
        <f>+J10/K10</f>
        <v>0.28006004002668444</v>
      </c>
      <c r="M10" s="30">
        <f t="shared" si="3"/>
        <v>0.44449999999999995</v>
      </c>
      <c r="N10" s="18" t="s">
        <v>116</v>
      </c>
      <c r="O10" s="18" t="s">
        <v>115</v>
      </c>
    </row>
    <row r="11" spans="1:15" ht="24" customHeight="1" x14ac:dyDescent="0.25">
      <c r="A11" s="40">
        <v>8410836223436</v>
      </c>
      <c r="B11" t="s">
        <v>80</v>
      </c>
      <c r="C11" t="s">
        <v>106</v>
      </c>
      <c r="D11">
        <v>3436</v>
      </c>
      <c r="E11">
        <f>+E5+E6</f>
        <v>2.72</v>
      </c>
      <c r="F11" s="31">
        <f>+K11*0.15</f>
        <v>2.2484999999999999</v>
      </c>
      <c r="G11">
        <v>3.3</v>
      </c>
      <c r="H11" s="2">
        <f>+K11*0.21</f>
        <v>3.1478999999999999</v>
      </c>
      <c r="I11" s="19">
        <f>+E11+F11+G11+H11</f>
        <v>11.416399999999999</v>
      </c>
      <c r="J11" s="33">
        <f>+K11-I11+M11</f>
        <v>4.0496000000000008</v>
      </c>
      <c r="K11" s="19">
        <v>14.99</v>
      </c>
      <c r="L11" s="21">
        <f>+J11/K11</f>
        <v>0.27015343562374922</v>
      </c>
      <c r="M11" s="30">
        <f t="shared" si="3"/>
        <v>0.47599999999999998</v>
      </c>
      <c r="N11" s="18" t="s">
        <v>116</v>
      </c>
      <c r="O11" s="18" t="s">
        <v>115</v>
      </c>
    </row>
    <row r="12" spans="1:15" x14ac:dyDescent="0.25">
      <c r="A12" s="40">
        <v>8410836223443</v>
      </c>
      <c r="B12" t="s">
        <v>117</v>
      </c>
      <c r="C12" t="s">
        <v>106</v>
      </c>
      <c r="D12">
        <v>3443</v>
      </c>
      <c r="E12">
        <f>+E7+E8</f>
        <v>2.3520000000000003</v>
      </c>
      <c r="F12" s="31">
        <f>+K12*0.15</f>
        <v>2.2484999999999999</v>
      </c>
      <c r="G12">
        <v>3.3</v>
      </c>
      <c r="H12" s="2">
        <f>+K12*0.21</f>
        <v>3.1478999999999999</v>
      </c>
      <c r="I12" s="19">
        <f>+E12+F12+G12+H12</f>
        <v>11.048400000000001</v>
      </c>
      <c r="J12" s="33">
        <f>+K12-I12+M12</f>
        <v>4.4175999999999993</v>
      </c>
      <c r="K12" s="19">
        <v>14.99</v>
      </c>
      <c r="L12" s="21">
        <f>+J12/K12</f>
        <v>0.2947031354236157</v>
      </c>
      <c r="M12" s="30">
        <f>+E11*0.175</f>
        <v>0.47599999999999998</v>
      </c>
      <c r="N12" s="18" t="s">
        <v>116</v>
      </c>
      <c r="O12" s="18" t="s">
        <v>115</v>
      </c>
    </row>
    <row r="13" spans="1:15" x14ac:dyDescent="0.25">
      <c r="A13" s="40">
        <v>8410836223450</v>
      </c>
      <c r="B13" t="s">
        <v>81</v>
      </c>
      <c r="C13" t="s">
        <v>106</v>
      </c>
      <c r="D13">
        <v>3450</v>
      </c>
      <c r="E13">
        <f>+E5+E7</f>
        <v>2.72</v>
      </c>
      <c r="F13" s="31">
        <f>+K13*0.15</f>
        <v>2.2484999999999999</v>
      </c>
      <c r="G13">
        <v>3.3</v>
      </c>
      <c r="H13" s="2">
        <f>+K13*0.21</f>
        <v>3.1478999999999999</v>
      </c>
      <c r="I13" s="19">
        <f>+E13+F13+G13+H13</f>
        <v>11.416399999999999</v>
      </c>
      <c r="J13" s="33">
        <f>+K13-I13+M13</f>
        <v>3.9852000000000007</v>
      </c>
      <c r="K13" s="19">
        <v>14.99</v>
      </c>
      <c r="L13" s="21">
        <f>+J13/K13</f>
        <v>0.26585723815877255</v>
      </c>
      <c r="M13" s="30">
        <f>+E12*0.175</f>
        <v>0.41160000000000002</v>
      </c>
      <c r="N13" s="18" t="s">
        <v>116</v>
      </c>
      <c r="O13" s="18" t="s">
        <v>115</v>
      </c>
    </row>
    <row r="14" spans="1:15" x14ac:dyDescent="0.25">
      <c r="A14" s="81" t="s">
        <v>211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</row>
    <row r="15" spans="1:15" x14ac:dyDescent="0.25">
      <c r="A15" s="40">
        <v>8410836224242</v>
      </c>
      <c r="B15" t="s">
        <v>214</v>
      </c>
      <c r="C15" t="s">
        <v>106</v>
      </c>
      <c r="D15">
        <v>4242</v>
      </c>
      <c r="E15">
        <f>+E3*2</f>
        <v>2.8800000000000003</v>
      </c>
      <c r="F15" s="31">
        <f>+K15*0.15</f>
        <v>2.2484999999999999</v>
      </c>
      <c r="G15">
        <v>3.3</v>
      </c>
      <c r="H15" s="2">
        <f t="shared" ref="H15:H20" si="5">+K15*0.21</f>
        <v>3.1478999999999999</v>
      </c>
      <c r="I15" s="19">
        <f t="shared" ref="I15:I20" si="6">+E15+F15+G15+H15</f>
        <v>11.5764</v>
      </c>
      <c r="J15" s="33">
        <f t="shared" ref="J15:J20" si="7">+K15-I15+M15</f>
        <v>3.9176000000000006</v>
      </c>
      <c r="K15" s="19">
        <v>14.99</v>
      </c>
      <c r="L15" s="21">
        <f t="shared" ref="L15:L20" si="8">+J15/K15</f>
        <v>0.26134756504336226</v>
      </c>
      <c r="M15" s="30">
        <f>+E15*0.175</f>
        <v>0.504</v>
      </c>
    </row>
    <row r="16" spans="1:15" x14ac:dyDescent="0.25">
      <c r="A16" s="76">
        <v>8410836224259</v>
      </c>
      <c r="B16" t="s">
        <v>215</v>
      </c>
      <c r="C16" t="s">
        <v>106</v>
      </c>
      <c r="D16">
        <v>4259</v>
      </c>
      <c r="E16">
        <f t="shared" ref="E16:E20" si="9">+E4*2</f>
        <v>2.2000000000000002</v>
      </c>
      <c r="F16" s="31">
        <f>+K16*0.15</f>
        <v>2.2484999999999999</v>
      </c>
      <c r="G16">
        <v>3.3</v>
      </c>
      <c r="H16" s="2">
        <f t="shared" si="5"/>
        <v>3.1478999999999999</v>
      </c>
      <c r="I16" s="19">
        <f t="shared" si="6"/>
        <v>10.8964</v>
      </c>
      <c r="J16" s="33">
        <f t="shared" si="7"/>
        <v>4.4786000000000001</v>
      </c>
      <c r="K16" s="19">
        <v>14.99</v>
      </c>
      <c r="L16" s="21">
        <f t="shared" si="8"/>
        <v>0.29877251501000668</v>
      </c>
      <c r="M16" s="30">
        <f>+E16*0.175</f>
        <v>0.38500000000000001</v>
      </c>
    </row>
    <row r="17" spans="1:15" x14ac:dyDescent="0.25">
      <c r="A17" s="40">
        <v>8410836224235</v>
      </c>
      <c r="B17" t="s">
        <v>216</v>
      </c>
      <c r="C17" t="s">
        <v>106</v>
      </c>
      <c r="D17">
        <v>4235</v>
      </c>
      <c r="E17">
        <f t="shared" si="9"/>
        <v>3.04</v>
      </c>
      <c r="F17" s="31">
        <f>+K17*0.15</f>
        <v>2.2484999999999999</v>
      </c>
      <c r="G17">
        <v>3.3</v>
      </c>
      <c r="H17" s="2">
        <f t="shared" si="5"/>
        <v>3.1478999999999999</v>
      </c>
      <c r="I17" s="19">
        <f t="shared" si="6"/>
        <v>11.7364</v>
      </c>
      <c r="J17" s="33">
        <f t="shared" si="7"/>
        <v>3.6386000000000003</v>
      </c>
      <c r="K17" s="19">
        <v>14.99</v>
      </c>
      <c r="L17" s="21">
        <f t="shared" si="8"/>
        <v>0.24273515677118079</v>
      </c>
      <c r="M17" s="30">
        <f>+E16*0.175</f>
        <v>0.38500000000000001</v>
      </c>
    </row>
    <row r="18" spans="1:15" x14ac:dyDescent="0.25">
      <c r="A18" s="40">
        <v>8410836224211</v>
      </c>
      <c r="B18" t="s">
        <v>217</v>
      </c>
      <c r="C18" t="s">
        <v>106</v>
      </c>
      <c r="D18">
        <v>4211</v>
      </c>
      <c r="E18">
        <f t="shared" si="9"/>
        <v>2.4000000000000004</v>
      </c>
      <c r="F18" s="31">
        <f>+K18*0.15</f>
        <v>2.2484999999999999</v>
      </c>
      <c r="G18">
        <v>3.3</v>
      </c>
      <c r="H18" s="2">
        <f t="shared" si="5"/>
        <v>3.1478999999999999</v>
      </c>
      <c r="I18" s="19">
        <f t="shared" si="6"/>
        <v>11.096399999999999</v>
      </c>
      <c r="J18" s="33">
        <f t="shared" si="7"/>
        <v>4.4256000000000011</v>
      </c>
      <c r="K18" s="19">
        <v>14.99</v>
      </c>
      <c r="L18" s="21">
        <f t="shared" si="8"/>
        <v>0.29523682454969985</v>
      </c>
      <c r="M18" s="30">
        <f>+E17*0.175</f>
        <v>0.53199999999999992</v>
      </c>
    </row>
    <row r="19" spans="1:15" x14ac:dyDescent="0.25">
      <c r="A19" s="40">
        <v>8410836224266</v>
      </c>
      <c r="B19" t="s">
        <v>218</v>
      </c>
      <c r="D19">
        <v>4266</v>
      </c>
      <c r="E19">
        <f t="shared" si="9"/>
        <v>2.4000000000000004</v>
      </c>
      <c r="F19" s="31">
        <f>+K19*0.15</f>
        <v>2.2484999999999999</v>
      </c>
      <c r="G19">
        <v>3.3</v>
      </c>
      <c r="H19" s="2">
        <f t="shared" si="5"/>
        <v>3.1478999999999999</v>
      </c>
      <c r="I19" s="19">
        <f t="shared" si="6"/>
        <v>11.096399999999999</v>
      </c>
      <c r="J19" s="33">
        <f t="shared" si="7"/>
        <v>4.313600000000001</v>
      </c>
      <c r="K19" s="19">
        <v>14.99</v>
      </c>
      <c r="L19" s="21">
        <f t="shared" si="8"/>
        <v>0.28776517678452307</v>
      </c>
      <c r="M19" s="30">
        <f>+E18*0.175</f>
        <v>0.42000000000000004</v>
      </c>
    </row>
    <row r="20" spans="1:15" x14ac:dyDescent="0.25">
      <c r="A20" s="55">
        <v>8410836224228</v>
      </c>
      <c r="B20" t="s">
        <v>219</v>
      </c>
      <c r="D20">
        <v>4228</v>
      </c>
      <c r="E20">
        <f t="shared" si="9"/>
        <v>2.3039999999999998</v>
      </c>
      <c r="F20" s="31">
        <f>+K20*0.15</f>
        <v>2.2484999999999999</v>
      </c>
      <c r="G20">
        <v>3.3</v>
      </c>
      <c r="H20" s="2">
        <f t="shared" si="5"/>
        <v>3.1478999999999999</v>
      </c>
      <c r="I20" s="19">
        <f t="shared" si="6"/>
        <v>11.000399999999999</v>
      </c>
      <c r="J20" s="33">
        <f t="shared" si="7"/>
        <v>4.4096000000000011</v>
      </c>
      <c r="K20" s="19">
        <v>14.99</v>
      </c>
      <c r="L20" s="21">
        <f t="shared" si="8"/>
        <v>0.29416944629753178</v>
      </c>
      <c r="M20" s="30">
        <f>+E19*0.175</f>
        <v>0.42000000000000004</v>
      </c>
    </row>
    <row r="22" spans="1:15" x14ac:dyDescent="0.25">
      <c r="A22" s="80" t="s">
        <v>212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</row>
    <row r="23" spans="1:15" x14ac:dyDescent="0.25">
      <c r="A23" s="40">
        <v>8410836223467</v>
      </c>
      <c r="B23" t="s">
        <v>113</v>
      </c>
      <c r="C23" t="s">
        <v>108</v>
      </c>
      <c r="D23" s="53">
        <v>3467</v>
      </c>
      <c r="E23">
        <f>+E6*4</f>
        <v>4.8000000000000007</v>
      </c>
      <c r="F23" s="2">
        <f t="shared" ref="F23:F28" si="10">+K23*0.15</f>
        <v>3.7484999999999995</v>
      </c>
      <c r="G23">
        <v>4</v>
      </c>
      <c r="H23" s="2">
        <f t="shared" ref="H23:H28" si="11">+K23*0.21</f>
        <v>5.2478999999999996</v>
      </c>
      <c r="I23" s="19">
        <f t="shared" ref="I23:I28" si="12">+E23+F23+G23+H23</f>
        <v>17.796399999999998</v>
      </c>
      <c r="J23" s="33">
        <f t="shared" ref="J23:J28" si="13">+K23-I23+M23</f>
        <v>8.0335999999999999</v>
      </c>
      <c r="K23" s="19">
        <v>24.99</v>
      </c>
      <c r="L23" s="21">
        <f t="shared" ref="L23:L28" si="14">+J23/K23</f>
        <v>0.32147258903561426</v>
      </c>
      <c r="M23" s="30">
        <f t="shared" ref="M23:M28" si="15">+E23*0.175</f>
        <v>0.84000000000000008</v>
      </c>
      <c r="N23" s="18" t="s">
        <v>220</v>
      </c>
      <c r="O23" s="18" t="s">
        <v>119</v>
      </c>
    </row>
    <row r="24" spans="1:15" x14ac:dyDescent="0.25">
      <c r="A24" s="40">
        <v>8410836223474</v>
      </c>
      <c r="B24" t="s">
        <v>100</v>
      </c>
      <c r="C24" t="s">
        <v>108</v>
      </c>
      <c r="D24">
        <v>3474</v>
      </c>
      <c r="E24">
        <f>+E7*4</f>
        <v>4.8000000000000007</v>
      </c>
      <c r="F24" s="2">
        <f t="shared" si="10"/>
        <v>3.7484999999999995</v>
      </c>
      <c r="G24">
        <v>4</v>
      </c>
      <c r="H24" s="2">
        <f t="shared" si="11"/>
        <v>5.2478999999999996</v>
      </c>
      <c r="I24" s="19">
        <f t="shared" si="12"/>
        <v>17.796399999999998</v>
      </c>
      <c r="J24" s="33">
        <f t="shared" si="13"/>
        <v>8.0335999999999999</v>
      </c>
      <c r="K24" s="19">
        <v>24.99</v>
      </c>
      <c r="L24" s="21">
        <f t="shared" si="14"/>
        <v>0.32147258903561426</v>
      </c>
      <c r="M24" s="30">
        <f t="shared" si="15"/>
        <v>0.84000000000000008</v>
      </c>
      <c r="N24" s="18" t="s">
        <v>220</v>
      </c>
      <c r="O24" s="18" t="s">
        <v>119</v>
      </c>
    </row>
    <row r="25" spans="1:15" x14ac:dyDescent="0.25">
      <c r="A25" s="40">
        <v>8410836223481</v>
      </c>
      <c r="B25" t="s">
        <v>101</v>
      </c>
      <c r="C25" t="s">
        <v>108</v>
      </c>
      <c r="D25">
        <v>3481</v>
      </c>
      <c r="E25">
        <f>+E5*4</f>
        <v>6.08</v>
      </c>
      <c r="F25" s="2">
        <f t="shared" si="10"/>
        <v>3.7484999999999995</v>
      </c>
      <c r="G25">
        <v>4</v>
      </c>
      <c r="H25" s="2">
        <f t="shared" si="11"/>
        <v>5.2478999999999996</v>
      </c>
      <c r="I25" s="19">
        <f t="shared" si="12"/>
        <v>19.0764</v>
      </c>
      <c r="J25" s="33">
        <f t="shared" si="13"/>
        <v>6.9775999999999989</v>
      </c>
      <c r="K25" s="19">
        <v>24.99</v>
      </c>
      <c r="L25" s="21">
        <f t="shared" si="14"/>
        <v>0.27921568627450977</v>
      </c>
      <c r="M25" s="30">
        <f t="shared" si="15"/>
        <v>1.0639999999999998</v>
      </c>
      <c r="N25" s="18" t="s">
        <v>220</v>
      </c>
      <c r="O25" s="18" t="s">
        <v>119</v>
      </c>
    </row>
    <row r="26" spans="1:15" x14ac:dyDescent="0.25">
      <c r="A26" s="40">
        <v>8410836223498</v>
      </c>
      <c r="B26" t="s">
        <v>112</v>
      </c>
      <c r="C26" t="s">
        <v>108</v>
      </c>
      <c r="D26">
        <v>3498</v>
      </c>
      <c r="E26">
        <f>+E3*4</f>
        <v>5.7600000000000007</v>
      </c>
      <c r="F26" s="2">
        <f t="shared" si="10"/>
        <v>3.7484999999999995</v>
      </c>
      <c r="G26">
        <v>4</v>
      </c>
      <c r="H26" s="2">
        <f t="shared" si="11"/>
        <v>5.2478999999999996</v>
      </c>
      <c r="I26" s="19">
        <f t="shared" si="12"/>
        <v>18.756399999999999</v>
      </c>
      <c r="J26" s="33">
        <f t="shared" si="13"/>
        <v>7.2415999999999991</v>
      </c>
      <c r="K26" s="19">
        <v>24.99</v>
      </c>
      <c r="L26" s="21">
        <f t="shared" si="14"/>
        <v>0.28977991196478592</v>
      </c>
      <c r="M26" s="30">
        <f t="shared" si="15"/>
        <v>1.008</v>
      </c>
      <c r="N26" s="18" t="s">
        <v>220</v>
      </c>
      <c r="O26" s="18" t="s">
        <v>119</v>
      </c>
    </row>
    <row r="27" spans="1:15" x14ac:dyDescent="0.25">
      <c r="A27" s="40">
        <v>8410836223504</v>
      </c>
      <c r="B27" t="s">
        <v>111</v>
      </c>
      <c r="C27" t="s">
        <v>108</v>
      </c>
      <c r="D27">
        <v>3504</v>
      </c>
      <c r="E27">
        <f>+E8*4</f>
        <v>4.6079999999999997</v>
      </c>
      <c r="F27" s="2">
        <f t="shared" si="10"/>
        <v>3.7484999999999995</v>
      </c>
      <c r="G27">
        <v>4</v>
      </c>
      <c r="H27" s="2">
        <f t="shared" si="11"/>
        <v>5.2478999999999996</v>
      </c>
      <c r="I27" s="19">
        <f t="shared" si="12"/>
        <v>17.604399999999998</v>
      </c>
      <c r="J27" s="33">
        <f t="shared" si="13"/>
        <v>8.1920000000000002</v>
      </c>
      <c r="K27" s="19">
        <v>24.99</v>
      </c>
      <c r="L27" s="21">
        <f t="shared" si="14"/>
        <v>0.32781112444977994</v>
      </c>
      <c r="M27" s="30">
        <f t="shared" si="15"/>
        <v>0.80639999999999989</v>
      </c>
      <c r="N27" s="18" t="s">
        <v>220</v>
      </c>
      <c r="O27" s="18" t="s">
        <v>119</v>
      </c>
    </row>
    <row r="28" spans="1:15" x14ac:dyDescent="0.25">
      <c r="A28" s="55">
        <v>8410836223511</v>
      </c>
      <c r="B28" t="s">
        <v>102</v>
      </c>
      <c r="C28" t="s">
        <v>108</v>
      </c>
      <c r="D28">
        <v>3511</v>
      </c>
      <c r="E28">
        <f>+E4*4</f>
        <v>4.4000000000000004</v>
      </c>
      <c r="F28" s="2">
        <f t="shared" si="10"/>
        <v>3.7484999999999995</v>
      </c>
      <c r="G28">
        <v>4</v>
      </c>
      <c r="H28" s="2">
        <f t="shared" si="11"/>
        <v>5.2478999999999996</v>
      </c>
      <c r="I28" s="19">
        <f t="shared" si="12"/>
        <v>17.3964</v>
      </c>
      <c r="J28" s="33">
        <f t="shared" si="13"/>
        <v>8.3635999999999981</v>
      </c>
      <c r="K28" s="19">
        <v>24.99</v>
      </c>
      <c r="L28" s="21">
        <f t="shared" si="14"/>
        <v>0.33467787114845932</v>
      </c>
      <c r="M28" s="30">
        <f t="shared" si="15"/>
        <v>0.77</v>
      </c>
      <c r="N28" s="18" t="s">
        <v>220</v>
      </c>
      <c r="O28" s="18" t="s">
        <v>119</v>
      </c>
    </row>
    <row r="31" spans="1:15" x14ac:dyDescent="0.25">
      <c r="A31" s="80" t="s">
        <v>213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</row>
    <row r="32" spans="1:15" x14ac:dyDescent="0.25">
      <c r="A32" s="40">
        <v>8410836223764</v>
      </c>
      <c r="B32" s="59" t="s">
        <v>181</v>
      </c>
      <c r="C32" s="59"/>
      <c r="D32" s="59">
        <v>3771</v>
      </c>
      <c r="E32" s="59">
        <f>+E6*8</f>
        <v>9.6000000000000014</v>
      </c>
      <c r="F32" s="60">
        <f t="shared" ref="F32:F37" si="16">+K32*0.15</f>
        <v>5.2484999999999999</v>
      </c>
      <c r="G32" s="59">
        <v>5</v>
      </c>
      <c r="H32" s="60">
        <f t="shared" ref="H32:H37" si="17">+K32*0.21</f>
        <v>7.3479000000000001</v>
      </c>
      <c r="I32" s="61">
        <f t="shared" ref="I32:I37" si="18">+E32+F32+G32+H32</f>
        <v>27.196400000000001</v>
      </c>
      <c r="J32" s="75">
        <f t="shared" ref="J32:J37" si="19">+K32-I32+M32</f>
        <v>9.4736000000000011</v>
      </c>
      <c r="K32" s="61">
        <v>34.99</v>
      </c>
      <c r="L32" s="63">
        <f t="shared" ref="L32:L37" si="20">+J32/K32</f>
        <v>0.27075164332666479</v>
      </c>
      <c r="M32" s="64">
        <f t="shared" ref="M32:M37" si="21">+E32*0.175</f>
        <v>1.6800000000000002</v>
      </c>
      <c r="N32" s="67" t="s">
        <v>118</v>
      </c>
    </row>
    <row r="33" spans="1:14" x14ac:dyDescent="0.25">
      <c r="A33" s="57">
        <v>8410836223818</v>
      </c>
      <c r="B33" s="59" t="s">
        <v>182</v>
      </c>
      <c r="C33" s="59"/>
      <c r="D33" s="59">
        <v>3818</v>
      </c>
      <c r="E33" s="59">
        <f>+E7*8</f>
        <v>9.6000000000000014</v>
      </c>
      <c r="F33" s="60">
        <f t="shared" si="16"/>
        <v>5.2484999999999999</v>
      </c>
      <c r="G33" s="59">
        <v>5</v>
      </c>
      <c r="H33" s="60">
        <f t="shared" si="17"/>
        <v>7.3479000000000001</v>
      </c>
      <c r="I33" s="61">
        <f t="shared" si="18"/>
        <v>27.196400000000001</v>
      </c>
      <c r="J33" s="75">
        <f t="shared" si="19"/>
        <v>9.4736000000000011</v>
      </c>
      <c r="K33" s="61">
        <v>34.99</v>
      </c>
      <c r="L33" s="63">
        <f t="shared" si="20"/>
        <v>0.27075164332666479</v>
      </c>
      <c r="M33" s="64">
        <f t="shared" si="21"/>
        <v>1.6800000000000002</v>
      </c>
      <c r="N33" s="67" t="s">
        <v>118</v>
      </c>
    </row>
    <row r="34" spans="1:14" x14ac:dyDescent="0.25">
      <c r="A34" s="40">
        <v>8410836223788</v>
      </c>
      <c r="B34" s="59" t="s">
        <v>183</v>
      </c>
      <c r="C34" s="59"/>
      <c r="D34" s="59">
        <v>3788</v>
      </c>
      <c r="E34" s="59">
        <f>+E5*8</f>
        <v>12.16</v>
      </c>
      <c r="F34" s="60">
        <f t="shared" si="16"/>
        <v>5.2484999999999999</v>
      </c>
      <c r="G34" s="59">
        <v>5</v>
      </c>
      <c r="H34" s="60">
        <f t="shared" si="17"/>
        <v>7.3479000000000001</v>
      </c>
      <c r="I34" s="61">
        <f t="shared" si="18"/>
        <v>29.756399999999999</v>
      </c>
      <c r="J34" s="75">
        <f t="shared" si="19"/>
        <v>7.3616000000000028</v>
      </c>
      <c r="K34" s="61">
        <v>34.99</v>
      </c>
      <c r="L34" s="63">
        <f t="shared" si="20"/>
        <v>0.21039154044012581</v>
      </c>
      <c r="M34" s="64">
        <f t="shared" si="21"/>
        <v>2.1279999999999997</v>
      </c>
      <c r="N34" s="67" t="s">
        <v>118</v>
      </c>
    </row>
    <row r="35" spans="1:14" x14ac:dyDescent="0.25">
      <c r="A35" s="40">
        <v>8410836223795</v>
      </c>
      <c r="B35" s="59" t="s">
        <v>184</v>
      </c>
      <c r="C35" s="59"/>
      <c r="D35" s="59">
        <v>3795</v>
      </c>
      <c r="E35" s="59">
        <f>+E3*8</f>
        <v>11.520000000000001</v>
      </c>
      <c r="F35" s="60">
        <f t="shared" si="16"/>
        <v>5.2484999999999999</v>
      </c>
      <c r="G35" s="59">
        <v>5</v>
      </c>
      <c r="H35" s="60">
        <f t="shared" si="17"/>
        <v>7.3479000000000001</v>
      </c>
      <c r="I35" s="61">
        <f t="shared" si="18"/>
        <v>29.116400000000002</v>
      </c>
      <c r="J35" s="75">
        <f t="shared" si="19"/>
        <v>7.8895999999999997</v>
      </c>
      <c r="K35" s="61">
        <v>34.99</v>
      </c>
      <c r="L35" s="63">
        <f t="shared" si="20"/>
        <v>0.22548156616176049</v>
      </c>
      <c r="M35" s="64">
        <f t="shared" si="21"/>
        <v>2.016</v>
      </c>
      <c r="N35" s="67" t="s">
        <v>118</v>
      </c>
    </row>
    <row r="36" spans="1:14" x14ac:dyDescent="0.25">
      <c r="A36" s="40">
        <v>8410836223771</v>
      </c>
      <c r="B36" s="59" t="s">
        <v>185</v>
      </c>
      <c r="C36" s="59"/>
      <c r="D36" s="59">
        <v>3764</v>
      </c>
      <c r="E36" s="59">
        <f>+E8*8</f>
        <v>9.2159999999999993</v>
      </c>
      <c r="F36" s="60">
        <f t="shared" si="16"/>
        <v>5.2484999999999999</v>
      </c>
      <c r="G36" s="59">
        <v>5</v>
      </c>
      <c r="H36" s="60">
        <f t="shared" si="17"/>
        <v>7.3479000000000001</v>
      </c>
      <c r="I36" s="61">
        <f t="shared" si="18"/>
        <v>26.8124</v>
      </c>
      <c r="J36" s="75">
        <f t="shared" si="19"/>
        <v>9.7904000000000018</v>
      </c>
      <c r="K36" s="61">
        <v>34.99</v>
      </c>
      <c r="L36" s="63">
        <f t="shared" si="20"/>
        <v>0.27980565875964564</v>
      </c>
      <c r="M36" s="64">
        <f t="shared" si="21"/>
        <v>1.6127999999999998</v>
      </c>
      <c r="N36" s="67" t="s">
        <v>118</v>
      </c>
    </row>
    <row r="37" spans="1:14" x14ac:dyDescent="0.25">
      <c r="A37" s="76">
        <v>8410836223801</v>
      </c>
      <c r="B37" t="s">
        <v>186</v>
      </c>
      <c r="D37">
        <v>3801</v>
      </c>
      <c r="E37">
        <f>+E4*8</f>
        <v>8.8000000000000007</v>
      </c>
      <c r="F37" s="2">
        <f t="shared" si="16"/>
        <v>5.2484999999999999</v>
      </c>
      <c r="G37">
        <v>5</v>
      </c>
      <c r="H37" s="2">
        <f t="shared" si="17"/>
        <v>7.3479000000000001</v>
      </c>
      <c r="I37" s="19">
        <f t="shared" si="18"/>
        <v>26.3964</v>
      </c>
      <c r="J37" s="33">
        <f t="shared" si="19"/>
        <v>10.133600000000001</v>
      </c>
      <c r="K37" s="61">
        <v>34.99</v>
      </c>
      <c r="L37" s="21">
        <f t="shared" si="20"/>
        <v>0.28961417547870821</v>
      </c>
      <c r="M37" s="30">
        <f t="shared" si="21"/>
        <v>1.54</v>
      </c>
      <c r="N37" s="18" t="s">
        <v>118</v>
      </c>
    </row>
    <row r="46" spans="1:14" x14ac:dyDescent="0.25">
      <c r="B46">
        <f>1152/6</f>
        <v>192</v>
      </c>
    </row>
  </sheetData>
  <mergeCells count="5">
    <mergeCell ref="A1:K1"/>
    <mergeCell ref="A9:K9"/>
    <mergeCell ref="A22:K22"/>
    <mergeCell ref="A31:K31"/>
    <mergeCell ref="A14:K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459E-9F04-4AB0-A372-E7102D9679B1}">
  <dimension ref="A1:L7"/>
  <sheetViews>
    <sheetView workbookViewId="0">
      <selection sqref="A1:L7"/>
    </sheetView>
  </sheetViews>
  <sheetFormatPr baseColWidth="10" defaultRowHeight="15" x14ac:dyDescent="0.25"/>
  <cols>
    <col min="1" max="1" width="14" bestFit="1" customWidth="1"/>
    <col min="2" max="2" width="30.42578125" bestFit="1" customWidth="1"/>
  </cols>
  <sheetData>
    <row r="1" spans="1:12" x14ac:dyDescent="0.25">
      <c r="B1" s="82" t="s">
        <v>83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x14ac:dyDescent="0.25">
      <c r="A2" s="36" t="s">
        <v>9</v>
      </c>
      <c r="B2" s="36" t="s">
        <v>10</v>
      </c>
      <c r="C2" s="36" t="s">
        <v>17</v>
      </c>
      <c r="D2" s="36" t="s">
        <v>0</v>
      </c>
      <c r="E2" s="37" t="s">
        <v>1</v>
      </c>
      <c r="F2" s="37" t="s">
        <v>2</v>
      </c>
      <c r="G2" s="37" t="s">
        <v>3</v>
      </c>
      <c r="H2" s="38" t="s">
        <v>4</v>
      </c>
      <c r="I2" s="37" t="s">
        <v>5</v>
      </c>
      <c r="J2" s="37" t="s">
        <v>6</v>
      </c>
      <c r="K2" s="37" t="s">
        <v>7</v>
      </c>
      <c r="L2" s="39" t="s">
        <v>8</v>
      </c>
    </row>
    <row r="3" spans="1:12" x14ac:dyDescent="0.25">
      <c r="A3" s="35">
        <v>8410836222552</v>
      </c>
      <c r="B3" t="s">
        <v>84</v>
      </c>
      <c r="C3" t="s">
        <v>20</v>
      </c>
      <c r="D3">
        <v>2552</v>
      </c>
      <c r="E3">
        <f>2.789*0.45</f>
        <v>1.25505</v>
      </c>
      <c r="F3" s="2">
        <f>+K3*0.15</f>
        <v>1.3485</v>
      </c>
      <c r="G3">
        <v>3.3</v>
      </c>
      <c r="H3" s="2">
        <v>1.8200149999999999</v>
      </c>
      <c r="I3" s="19">
        <f>+E3+F3+G3+H3</f>
        <v>7.7235649999999998</v>
      </c>
      <c r="J3" s="20">
        <f>+K3-I3</f>
        <v>1.2664350000000004</v>
      </c>
      <c r="K3" s="19">
        <v>8.99</v>
      </c>
      <c r="L3" s="21">
        <f>+J3/K3</f>
        <v>0.14087152391546168</v>
      </c>
    </row>
    <row r="4" spans="1:12" x14ac:dyDescent="0.25">
      <c r="A4" s="35">
        <v>8410836222545</v>
      </c>
      <c r="B4" t="s">
        <v>85</v>
      </c>
      <c r="C4" t="s">
        <v>20</v>
      </c>
      <c r="D4">
        <v>2545</v>
      </c>
      <c r="E4">
        <f>2.506*0.45</f>
        <v>1.1276999999999999</v>
      </c>
      <c r="F4" s="2">
        <f>+K4*0.15</f>
        <v>1.3485</v>
      </c>
      <c r="G4">
        <v>3.3</v>
      </c>
      <c r="H4" s="2">
        <v>1.8200149999999999</v>
      </c>
      <c r="I4" s="19">
        <f>+E4+F4+G4+H4</f>
        <v>7.5962149999999991</v>
      </c>
      <c r="J4" s="20">
        <f>+K4-I4</f>
        <v>1.3937850000000012</v>
      </c>
      <c r="K4" s="19">
        <v>8.99</v>
      </c>
      <c r="L4" s="21">
        <f>+J4/K4</f>
        <v>0.1550372636262515</v>
      </c>
    </row>
    <row r="5" spans="1:12" x14ac:dyDescent="0.25">
      <c r="A5" s="35">
        <v>8410836217756</v>
      </c>
      <c r="B5" t="s">
        <v>86</v>
      </c>
      <c r="C5" t="s">
        <v>18</v>
      </c>
      <c r="D5">
        <v>7756</v>
      </c>
      <c r="E5">
        <f>2.763*0.45</f>
        <v>1.24335</v>
      </c>
      <c r="F5" s="2">
        <f>+K5*0.15</f>
        <v>1.3485</v>
      </c>
      <c r="G5">
        <v>3.3</v>
      </c>
      <c r="H5" s="2">
        <v>1.8200149999999999</v>
      </c>
      <c r="I5" s="19">
        <f>+E5+F5+G5+H5</f>
        <v>7.7118649999999995</v>
      </c>
      <c r="J5" s="20">
        <f>+K5-I5</f>
        <v>1.2781350000000007</v>
      </c>
      <c r="K5" s="19">
        <v>8.99</v>
      </c>
      <c r="L5" s="21">
        <f>+J5/K5</f>
        <v>0.14217296996662968</v>
      </c>
    </row>
    <row r="6" spans="1:12" x14ac:dyDescent="0.25">
      <c r="A6" s="35">
        <v>8410836223375</v>
      </c>
      <c r="B6" t="s">
        <v>87</v>
      </c>
      <c r="C6" t="s">
        <v>89</v>
      </c>
      <c r="D6">
        <v>3375</v>
      </c>
      <c r="E6">
        <f>+E5+E4+E3</f>
        <v>3.6261000000000001</v>
      </c>
      <c r="F6" s="2">
        <f>+K6*0.15</f>
        <v>1.7985</v>
      </c>
      <c r="G6">
        <v>3.3</v>
      </c>
      <c r="H6" s="2">
        <v>1.8200149999999999</v>
      </c>
      <c r="I6" s="19">
        <f>+E6+F6+G6+H6</f>
        <v>10.544614999999999</v>
      </c>
      <c r="J6" s="20">
        <f>+K6-I6</f>
        <v>1.4453850000000017</v>
      </c>
      <c r="K6" s="19">
        <v>11.99</v>
      </c>
      <c r="L6" s="21">
        <f>+J6/K6</f>
        <v>0.12054920767306103</v>
      </c>
    </row>
    <row r="7" spans="1:12" x14ac:dyDescent="0.25">
      <c r="A7" s="35">
        <v>8410836223382</v>
      </c>
      <c r="B7" t="s">
        <v>88</v>
      </c>
      <c r="C7" t="s">
        <v>90</v>
      </c>
      <c r="D7">
        <v>3382</v>
      </c>
      <c r="E7">
        <f>+E3+E4</f>
        <v>2.3827499999999997</v>
      </c>
      <c r="F7" s="2">
        <f>+K7*0.15</f>
        <v>1.4984999999999999</v>
      </c>
      <c r="G7">
        <v>3.3</v>
      </c>
      <c r="H7" s="2">
        <v>1.8200149999999999</v>
      </c>
      <c r="I7" s="19">
        <f>+E7+F7+G7+H7</f>
        <v>9.0012650000000001</v>
      </c>
      <c r="J7" s="20">
        <f>+K7-I7</f>
        <v>0.98873500000000014</v>
      </c>
      <c r="K7" s="19">
        <v>9.99</v>
      </c>
      <c r="L7" s="21">
        <f>+J7/K7</f>
        <v>9.8972472472472484E-2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687C-1970-4DD6-BC76-6E321672253C}">
  <dimension ref="A1:S45"/>
  <sheetViews>
    <sheetView topLeftCell="D4" workbookViewId="0">
      <selection activeCell="L24" sqref="L24"/>
    </sheetView>
  </sheetViews>
  <sheetFormatPr baseColWidth="10" defaultRowHeight="15" x14ac:dyDescent="0.25"/>
  <cols>
    <col min="1" max="1" width="14" bestFit="1" customWidth="1"/>
    <col min="2" max="2" width="18.5703125" bestFit="1" customWidth="1"/>
    <col min="3" max="3" width="34.85546875" bestFit="1" customWidth="1"/>
    <col min="7" max="7" width="13.7109375" customWidth="1"/>
    <col min="10" max="10" width="13" customWidth="1"/>
    <col min="14" max="14" width="11.42578125" style="30"/>
    <col min="15" max="15" width="37.5703125" bestFit="1" customWidth="1"/>
    <col min="16" max="16" width="162.42578125" bestFit="1" customWidth="1"/>
  </cols>
  <sheetData>
    <row r="1" spans="1:19" x14ac:dyDescent="0.25">
      <c r="A1" s="78" t="s">
        <v>121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9" x14ac:dyDescent="0.25">
      <c r="A2" s="41" t="s">
        <v>9</v>
      </c>
      <c r="B2" s="41" t="s">
        <v>152</v>
      </c>
      <c r="C2" s="41" t="s">
        <v>10</v>
      </c>
      <c r="D2" s="41" t="s">
        <v>17</v>
      </c>
      <c r="E2" s="41" t="s">
        <v>0</v>
      </c>
      <c r="F2" s="42" t="s">
        <v>1</v>
      </c>
      <c r="G2" s="42" t="s">
        <v>2</v>
      </c>
      <c r="H2" s="42" t="s">
        <v>3</v>
      </c>
      <c r="I2" s="43" t="s">
        <v>4</v>
      </c>
      <c r="J2" s="42" t="s">
        <v>5</v>
      </c>
      <c r="K2" s="42" t="s">
        <v>6</v>
      </c>
      <c r="L2" s="42" t="s">
        <v>7</v>
      </c>
      <c r="M2" s="44" t="s">
        <v>8</v>
      </c>
      <c r="N2" s="43" t="s">
        <v>141</v>
      </c>
      <c r="O2" s="42" t="s">
        <v>110</v>
      </c>
      <c r="P2" s="42" t="s">
        <v>168</v>
      </c>
      <c r="Q2" s="42" t="s">
        <v>114</v>
      </c>
      <c r="R2" s="42" t="s">
        <v>169</v>
      </c>
      <c r="S2" s="42" t="s">
        <v>170</v>
      </c>
    </row>
    <row r="3" spans="1:19" x14ac:dyDescent="0.25">
      <c r="A3" s="35">
        <v>8410836205050</v>
      </c>
      <c r="B3" s="47"/>
      <c r="D3" t="s">
        <v>140</v>
      </c>
      <c r="E3" t="s">
        <v>126</v>
      </c>
      <c r="F3" s="30">
        <f>7.85*0.5</f>
        <v>3.9249999999999998</v>
      </c>
      <c r="G3" s="2">
        <f t="shared" ref="G3:G20" si="0">+L3*0.15</f>
        <v>1.9484999999999999</v>
      </c>
      <c r="H3">
        <v>4.4000000000000004</v>
      </c>
      <c r="I3" s="2">
        <v>1.8200149999999999</v>
      </c>
      <c r="J3" s="19">
        <f t="shared" ref="J3:J20" si="1">+F3+G3+H3+I3</f>
        <v>12.093515</v>
      </c>
      <c r="K3" s="20">
        <f t="shared" ref="K3:K20" si="2">+L3-J3+N3</f>
        <v>1.5833600000000001</v>
      </c>
      <c r="L3" s="19">
        <v>12.99</v>
      </c>
      <c r="M3" s="21">
        <f t="shared" ref="M3:M20" si="3">+K3/L3</f>
        <v>0.12189068514241724</v>
      </c>
      <c r="N3" s="30">
        <f t="shared" ref="N3:N20" si="4">+F3*0.175</f>
        <v>0.6868749999999999</v>
      </c>
    </row>
    <row r="4" spans="1:19" x14ac:dyDescent="0.25">
      <c r="A4" s="35">
        <v>8410836205067</v>
      </c>
      <c r="B4" s="47"/>
      <c r="D4" t="s">
        <v>140</v>
      </c>
      <c r="E4" t="s">
        <v>122</v>
      </c>
      <c r="F4" s="30">
        <f>7.134*0.5</f>
        <v>3.5670000000000002</v>
      </c>
      <c r="G4" s="2">
        <f t="shared" si="0"/>
        <v>1.9484999999999999</v>
      </c>
      <c r="H4">
        <v>4.4000000000000004</v>
      </c>
      <c r="I4" s="2">
        <v>1.8200149999999999</v>
      </c>
      <c r="J4" s="19">
        <f t="shared" si="1"/>
        <v>11.735515000000001</v>
      </c>
      <c r="K4" s="20">
        <f t="shared" si="2"/>
        <v>1.878709999999999</v>
      </c>
      <c r="L4" s="19">
        <v>12.99</v>
      </c>
      <c r="M4" s="21">
        <f t="shared" si="3"/>
        <v>0.14462740569668969</v>
      </c>
      <c r="N4" s="30">
        <f t="shared" si="4"/>
        <v>0.62422500000000003</v>
      </c>
    </row>
    <row r="5" spans="1:19" x14ac:dyDescent="0.25">
      <c r="A5" s="35">
        <v>8410836205074</v>
      </c>
      <c r="B5" s="47"/>
      <c r="D5" t="s">
        <v>140</v>
      </c>
      <c r="E5" t="s">
        <v>123</v>
      </c>
      <c r="F5" s="30">
        <f>7.842*0.5</f>
        <v>3.9209999999999998</v>
      </c>
      <c r="G5" s="2">
        <f t="shared" si="0"/>
        <v>1.9484999999999999</v>
      </c>
      <c r="H5">
        <v>4.4000000000000004</v>
      </c>
      <c r="I5" s="2">
        <v>1.8200149999999999</v>
      </c>
      <c r="J5" s="19">
        <f t="shared" si="1"/>
        <v>12.089515</v>
      </c>
      <c r="K5" s="20">
        <f t="shared" si="2"/>
        <v>1.5866599999999997</v>
      </c>
      <c r="L5" s="19">
        <v>12.99</v>
      </c>
      <c r="M5" s="21">
        <f t="shared" si="3"/>
        <v>0.12214472671285602</v>
      </c>
      <c r="N5" s="30">
        <f t="shared" si="4"/>
        <v>0.68617499999999998</v>
      </c>
    </row>
    <row r="6" spans="1:19" x14ac:dyDescent="0.25">
      <c r="A6" s="35">
        <v>8410836205081</v>
      </c>
      <c r="B6" s="47"/>
      <c r="D6" t="s">
        <v>140</v>
      </c>
      <c r="E6" t="s">
        <v>135</v>
      </c>
      <c r="F6" s="30">
        <f>6.572*0.5</f>
        <v>3.286</v>
      </c>
      <c r="G6" s="2">
        <f t="shared" si="0"/>
        <v>1.9484999999999999</v>
      </c>
      <c r="H6">
        <v>4.4000000000000004</v>
      </c>
      <c r="I6" s="2">
        <v>1.8200149999999999</v>
      </c>
      <c r="J6" s="19">
        <f t="shared" si="1"/>
        <v>11.454514999999999</v>
      </c>
      <c r="K6" s="20">
        <f t="shared" si="2"/>
        <v>2.1105350000000014</v>
      </c>
      <c r="L6" s="19">
        <v>12.99</v>
      </c>
      <c r="M6" s="21">
        <f t="shared" si="3"/>
        <v>0.1624738260200155</v>
      </c>
      <c r="N6" s="30">
        <f t="shared" si="4"/>
        <v>0.57504999999999995</v>
      </c>
    </row>
    <row r="7" spans="1:19" x14ac:dyDescent="0.25">
      <c r="A7" s="35">
        <v>8410836204541</v>
      </c>
      <c r="B7" s="47"/>
      <c r="D7" t="s">
        <v>140</v>
      </c>
      <c r="E7" t="s">
        <v>128</v>
      </c>
      <c r="F7" s="30">
        <f>4.328*0.5</f>
        <v>2.1640000000000001</v>
      </c>
      <c r="G7" s="2">
        <f t="shared" si="0"/>
        <v>1.9484999999999999</v>
      </c>
      <c r="H7">
        <v>4.4000000000000004</v>
      </c>
      <c r="I7" s="2">
        <v>1.8200149999999999</v>
      </c>
      <c r="J7" s="19">
        <f t="shared" si="1"/>
        <v>10.332514999999999</v>
      </c>
      <c r="K7" s="20">
        <f t="shared" si="2"/>
        <v>3.036185000000001</v>
      </c>
      <c r="L7" s="19">
        <v>12.99</v>
      </c>
      <c r="M7" s="21">
        <f t="shared" si="3"/>
        <v>0.23373248652809861</v>
      </c>
      <c r="N7" s="30">
        <f t="shared" si="4"/>
        <v>0.37869999999999998</v>
      </c>
    </row>
    <row r="8" spans="1:19" x14ac:dyDescent="0.25">
      <c r="A8" s="35">
        <v>8410836205869</v>
      </c>
      <c r="B8" s="47"/>
      <c r="D8" t="s">
        <v>140</v>
      </c>
      <c r="E8" t="s">
        <v>129</v>
      </c>
      <c r="F8" s="30">
        <f>4.328*0.5</f>
        <v>2.1640000000000001</v>
      </c>
      <c r="G8" s="2">
        <f t="shared" si="0"/>
        <v>1.9484999999999999</v>
      </c>
      <c r="H8">
        <v>4.4000000000000004</v>
      </c>
      <c r="I8" s="2">
        <v>1.8200149999999999</v>
      </c>
      <c r="J8" s="19">
        <f t="shared" si="1"/>
        <v>10.332514999999999</v>
      </c>
      <c r="K8" s="20">
        <f t="shared" si="2"/>
        <v>3.036185000000001</v>
      </c>
      <c r="L8" s="19">
        <v>12.99</v>
      </c>
      <c r="M8" s="21">
        <f t="shared" si="3"/>
        <v>0.23373248652809861</v>
      </c>
      <c r="N8" s="30">
        <f t="shared" si="4"/>
        <v>0.37869999999999998</v>
      </c>
    </row>
    <row r="9" spans="1:19" x14ac:dyDescent="0.25">
      <c r="A9" s="35">
        <v>8410836205876</v>
      </c>
      <c r="B9" s="47"/>
      <c r="D9" t="s">
        <v>140</v>
      </c>
      <c r="E9" t="s">
        <v>130</v>
      </c>
      <c r="F9" s="30">
        <f>4.328*0.5</f>
        <v>2.1640000000000001</v>
      </c>
      <c r="G9" s="2">
        <f t="shared" si="0"/>
        <v>1.9484999999999999</v>
      </c>
      <c r="H9">
        <v>4.4000000000000004</v>
      </c>
      <c r="I9" s="2">
        <v>1.8200149999999999</v>
      </c>
      <c r="J9" s="19">
        <f t="shared" si="1"/>
        <v>10.332514999999999</v>
      </c>
      <c r="K9" s="20">
        <f t="shared" si="2"/>
        <v>3.036185000000001</v>
      </c>
      <c r="L9" s="19">
        <v>12.99</v>
      </c>
      <c r="M9" s="21">
        <f t="shared" si="3"/>
        <v>0.23373248652809861</v>
      </c>
      <c r="N9" s="30">
        <f t="shared" si="4"/>
        <v>0.37869999999999998</v>
      </c>
    </row>
    <row r="10" spans="1:19" x14ac:dyDescent="0.25">
      <c r="A10" s="35">
        <v>8410836206248</v>
      </c>
      <c r="B10" s="47"/>
      <c r="D10" t="s">
        <v>140</v>
      </c>
      <c r="E10" t="s">
        <v>137</v>
      </c>
      <c r="F10" s="30">
        <f>11.064*0.5+1.1</f>
        <v>6.6319999999999997</v>
      </c>
      <c r="G10" s="2">
        <f t="shared" si="0"/>
        <v>2.6924999999999999</v>
      </c>
      <c r="H10">
        <v>4.4000000000000004</v>
      </c>
      <c r="I10" s="2">
        <v>1.8200149999999999</v>
      </c>
      <c r="J10" s="19">
        <f t="shared" si="1"/>
        <v>15.544515000000001</v>
      </c>
      <c r="K10" s="20">
        <f t="shared" si="2"/>
        <v>3.5660849999999984</v>
      </c>
      <c r="L10" s="19">
        <v>17.95</v>
      </c>
      <c r="M10" s="21">
        <f t="shared" si="3"/>
        <v>0.19866768802228404</v>
      </c>
      <c r="N10" s="30">
        <f t="shared" si="4"/>
        <v>1.1605999999999999</v>
      </c>
    </row>
    <row r="11" spans="1:19" x14ac:dyDescent="0.25">
      <c r="A11" s="35">
        <v>8410836206255</v>
      </c>
      <c r="B11" s="47"/>
      <c r="D11" t="s">
        <v>140</v>
      </c>
      <c r="E11" t="s">
        <v>138</v>
      </c>
      <c r="F11" s="30">
        <f>11.064*0.5</f>
        <v>5.532</v>
      </c>
      <c r="G11" s="2">
        <f t="shared" si="0"/>
        <v>2.2484999999999999</v>
      </c>
      <c r="H11">
        <v>4.4000000000000004</v>
      </c>
      <c r="I11" s="2">
        <v>1.8200149999999999</v>
      </c>
      <c r="J11" s="19">
        <f t="shared" si="1"/>
        <v>14.000515</v>
      </c>
      <c r="K11" s="20">
        <f t="shared" si="2"/>
        <v>1.9575850000000001</v>
      </c>
      <c r="L11" s="19">
        <v>14.99</v>
      </c>
      <c r="M11" s="21">
        <f t="shared" si="3"/>
        <v>0.13059272848565712</v>
      </c>
      <c r="N11" s="30">
        <f t="shared" si="4"/>
        <v>0.96809999999999996</v>
      </c>
    </row>
    <row r="12" spans="1:19" x14ac:dyDescent="0.25">
      <c r="A12" s="35">
        <v>8410836206262</v>
      </c>
      <c r="B12" s="47"/>
      <c r="D12" t="s">
        <v>140</v>
      </c>
      <c r="E12" t="s">
        <v>139</v>
      </c>
      <c r="F12" s="30">
        <f>11.064*0.5</f>
        <v>5.532</v>
      </c>
      <c r="G12" s="2">
        <f t="shared" si="0"/>
        <v>2.2484999999999999</v>
      </c>
      <c r="H12">
        <v>4.4000000000000004</v>
      </c>
      <c r="I12" s="2">
        <v>1.8200149999999999</v>
      </c>
      <c r="J12" s="19">
        <f t="shared" si="1"/>
        <v>14.000515</v>
      </c>
      <c r="K12" s="20">
        <f t="shared" si="2"/>
        <v>1.9575850000000001</v>
      </c>
      <c r="L12" s="19">
        <v>14.99</v>
      </c>
      <c r="M12" s="21">
        <f t="shared" si="3"/>
        <v>0.13059272848565712</v>
      </c>
      <c r="N12" s="30">
        <f t="shared" si="4"/>
        <v>0.96809999999999996</v>
      </c>
    </row>
    <row r="13" spans="1:19" x14ac:dyDescent="0.25">
      <c r="A13" s="35">
        <v>8410836206552</v>
      </c>
      <c r="B13" s="47"/>
      <c r="D13" t="s">
        <v>140</v>
      </c>
      <c r="E13" t="s">
        <v>124</v>
      </c>
      <c r="F13">
        <f>9.94*0.5</f>
        <v>4.97</v>
      </c>
      <c r="G13" s="2">
        <f t="shared" si="0"/>
        <v>2.0985</v>
      </c>
      <c r="H13">
        <v>4.4000000000000004</v>
      </c>
      <c r="I13" s="2">
        <v>1.8200149999999999</v>
      </c>
      <c r="J13" s="19">
        <f t="shared" si="1"/>
        <v>13.288515</v>
      </c>
      <c r="K13" s="20">
        <f t="shared" si="2"/>
        <v>1.5712349999999997</v>
      </c>
      <c r="L13" s="19">
        <v>13.99</v>
      </c>
      <c r="M13" s="21">
        <f t="shared" si="3"/>
        <v>0.11231129378127232</v>
      </c>
      <c r="N13" s="30">
        <f t="shared" si="4"/>
        <v>0.86974999999999991</v>
      </c>
    </row>
    <row r="14" spans="1:19" x14ac:dyDescent="0.25">
      <c r="A14" s="35">
        <v>8410836206576</v>
      </c>
      <c r="B14" s="47"/>
      <c r="D14" t="s">
        <v>140</v>
      </c>
      <c r="E14" t="s">
        <v>125</v>
      </c>
      <c r="F14" s="30">
        <f>9.115*0.5</f>
        <v>4.5575000000000001</v>
      </c>
      <c r="G14" s="2">
        <f t="shared" si="0"/>
        <v>1.9484999999999999</v>
      </c>
      <c r="H14">
        <v>4.4000000000000004</v>
      </c>
      <c r="I14" s="2">
        <v>1.8200149999999999</v>
      </c>
      <c r="J14" s="19">
        <f t="shared" si="1"/>
        <v>12.726015</v>
      </c>
      <c r="K14" s="20">
        <f t="shared" si="2"/>
        <v>1.0615474999999999</v>
      </c>
      <c r="L14" s="19">
        <v>12.99</v>
      </c>
      <c r="M14" s="21">
        <f t="shared" si="3"/>
        <v>8.1720361816782133E-2</v>
      </c>
      <c r="N14" s="30">
        <f t="shared" si="4"/>
        <v>0.79756249999999995</v>
      </c>
    </row>
    <row r="15" spans="1:19" x14ac:dyDescent="0.25">
      <c r="A15" s="35">
        <v>8410836209669</v>
      </c>
      <c r="B15" s="47"/>
      <c r="D15" t="s">
        <v>140</v>
      </c>
      <c r="E15" t="s">
        <v>131</v>
      </c>
      <c r="F15" s="30">
        <f>4.328*0.5</f>
        <v>2.1640000000000001</v>
      </c>
      <c r="G15" s="2">
        <f t="shared" si="0"/>
        <v>1.9484999999999999</v>
      </c>
      <c r="H15">
        <v>4.4000000000000004</v>
      </c>
      <c r="I15" s="2">
        <v>1.8200149999999999</v>
      </c>
      <c r="J15" s="19">
        <f t="shared" si="1"/>
        <v>10.332514999999999</v>
      </c>
      <c r="K15" s="20">
        <f t="shared" si="2"/>
        <v>3.036185000000001</v>
      </c>
      <c r="L15" s="19">
        <v>12.99</v>
      </c>
      <c r="M15" s="21">
        <f t="shared" si="3"/>
        <v>0.23373248652809861</v>
      </c>
      <c r="N15" s="30">
        <f t="shared" si="4"/>
        <v>0.37869999999999998</v>
      </c>
    </row>
    <row r="16" spans="1:19" x14ac:dyDescent="0.25">
      <c r="A16" s="35">
        <v>8410836210177</v>
      </c>
      <c r="B16" s="47"/>
      <c r="D16" t="s">
        <v>140</v>
      </c>
      <c r="E16" t="s">
        <v>132</v>
      </c>
      <c r="F16" s="30">
        <f>4.328*0.5</f>
        <v>2.1640000000000001</v>
      </c>
      <c r="G16" s="2">
        <f t="shared" si="0"/>
        <v>1.9484999999999999</v>
      </c>
      <c r="H16">
        <v>4.4000000000000004</v>
      </c>
      <c r="I16" s="2">
        <v>1.8200149999999999</v>
      </c>
      <c r="J16" s="19">
        <f t="shared" si="1"/>
        <v>10.332514999999999</v>
      </c>
      <c r="K16" s="20">
        <f t="shared" si="2"/>
        <v>3.036185000000001</v>
      </c>
      <c r="L16" s="19">
        <v>12.99</v>
      </c>
      <c r="M16" s="21">
        <f t="shared" si="3"/>
        <v>0.23373248652809861</v>
      </c>
      <c r="N16" s="30">
        <f t="shared" si="4"/>
        <v>0.37869999999999998</v>
      </c>
    </row>
    <row r="17" spans="1:19" x14ac:dyDescent="0.25">
      <c r="A17" s="35">
        <v>8410836211860</v>
      </c>
      <c r="B17" s="47"/>
      <c r="D17" t="s">
        <v>140</v>
      </c>
      <c r="E17" t="s">
        <v>136</v>
      </c>
      <c r="F17" s="30">
        <f>12.541*0.5</f>
        <v>6.2705000000000002</v>
      </c>
      <c r="G17" s="2">
        <f t="shared" si="0"/>
        <v>2.2484999999999999</v>
      </c>
      <c r="H17">
        <v>4.4000000000000004</v>
      </c>
      <c r="I17" s="2">
        <v>1.8200149999999999</v>
      </c>
      <c r="J17" s="19">
        <f t="shared" si="1"/>
        <v>14.739015</v>
      </c>
      <c r="K17" s="20">
        <f t="shared" si="2"/>
        <v>1.3483224999999999</v>
      </c>
      <c r="L17" s="19">
        <v>14.99</v>
      </c>
      <c r="M17" s="21">
        <f t="shared" si="3"/>
        <v>8.9948132088058699E-2</v>
      </c>
      <c r="N17" s="30">
        <f t="shared" si="4"/>
        <v>1.0973374999999999</v>
      </c>
    </row>
    <row r="18" spans="1:19" x14ac:dyDescent="0.25">
      <c r="A18" s="35">
        <v>8410836211846</v>
      </c>
      <c r="B18" s="47"/>
      <c r="D18" t="s">
        <v>140</v>
      </c>
      <c r="E18" t="s">
        <v>127</v>
      </c>
      <c r="F18" s="30">
        <f>10.69*0.5</f>
        <v>5.3449999999999998</v>
      </c>
      <c r="G18" s="2">
        <f t="shared" si="0"/>
        <v>1.9484999999999999</v>
      </c>
      <c r="H18">
        <v>4.4000000000000004</v>
      </c>
      <c r="I18" s="2">
        <v>1.8200149999999999</v>
      </c>
      <c r="J18" s="19">
        <f t="shared" si="1"/>
        <v>13.513515</v>
      </c>
      <c r="K18" s="20">
        <f t="shared" si="2"/>
        <v>0.41186000000000011</v>
      </c>
      <c r="L18" s="19">
        <v>12.99</v>
      </c>
      <c r="M18" s="21">
        <f t="shared" si="3"/>
        <v>3.170592763664358E-2</v>
      </c>
      <c r="N18" s="30">
        <f t="shared" si="4"/>
        <v>0.93537499999999985</v>
      </c>
    </row>
    <row r="19" spans="1:19" x14ac:dyDescent="0.25">
      <c r="A19" s="35">
        <v>8410836213383</v>
      </c>
      <c r="B19" s="47"/>
      <c r="D19" t="s">
        <v>140</v>
      </c>
      <c r="E19" t="s">
        <v>133</v>
      </c>
      <c r="F19" s="30">
        <f>5.509*0.5</f>
        <v>2.7545000000000002</v>
      </c>
      <c r="G19" s="2">
        <f t="shared" si="0"/>
        <v>1.9484999999999999</v>
      </c>
      <c r="H19">
        <v>4.4000000000000004</v>
      </c>
      <c r="I19" s="2">
        <v>1.8200149999999999</v>
      </c>
      <c r="J19" s="19">
        <f t="shared" si="1"/>
        <v>10.923015000000001</v>
      </c>
      <c r="K19" s="20">
        <f t="shared" si="2"/>
        <v>2.5490224999999991</v>
      </c>
      <c r="L19" s="19">
        <v>12.99</v>
      </c>
      <c r="M19" s="21">
        <f t="shared" si="3"/>
        <v>0.19622959969207074</v>
      </c>
      <c r="N19" s="30">
        <f t="shared" si="4"/>
        <v>0.48203750000000001</v>
      </c>
    </row>
    <row r="20" spans="1:19" x14ac:dyDescent="0.25">
      <c r="A20" s="35">
        <v>8410836213727</v>
      </c>
      <c r="B20" s="47"/>
      <c r="D20" t="s">
        <v>140</v>
      </c>
      <c r="E20" t="s">
        <v>134</v>
      </c>
      <c r="F20" s="30">
        <f>5.397*0.5</f>
        <v>2.6985000000000001</v>
      </c>
      <c r="G20" s="2">
        <f t="shared" si="0"/>
        <v>1.9484999999999999</v>
      </c>
      <c r="H20">
        <v>4.4000000000000004</v>
      </c>
      <c r="I20" s="2">
        <v>1.8200149999999999</v>
      </c>
      <c r="J20" s="19">
        <f t="shared" si="1"/>
        <v>10.867015</v>
      </c>
      <c r="K20" s="20">
        <f t="shared" si="2"/>
        <v>2.5952224999999998</v>
      </c>
      <c r="L20" s="19">
        <v>12.99</v>
      </c>
      <c r="M20" s="21">
        <f t="shared" si="3"/>
        <v>0.19978618167821399</v>
      </c>
      <c r="N20" s="30">
        <f t="shared" si="4"/>
        <v>0.47223749999999998</v>
      </c>
    </row>
    <row r="21" spans="1:19" x14ac:dyDescent="0.25">
      <c r="A21" s="48"/>
      <c r="B21" s="48"/>
      <c r="C21" s="45"/>
      <c r="D21" s="45"/>
      <c r="E21" s="45"/>
      <c r="F21" s="45"/>
      <c r="G21" s="45" t="s">
        <v>142</v>
      </c>
      <c r="H21" s="45"/>
      <c r="I21" s="45"/>
      <c r="J21" s="45"/>
      <c r="K21" s="45"/>
      <c r="L21" s="45"/>
      <c r="M21" s="45"/>
      <c r="N21" s="46"/>
    </row>
    <row r="22" spans="1:19" x14ac:dyDescent="0.25">
      <c r="A22" s="57">
        <v>8410836223962</v>
      </c>
      <c r="B22" s="58" t="s">
        <v>157</v>
      </c>
      <c r="C22" s="59" t="s">
        <v>200</v>
      </c>
      <c r="D22" s="59" t="s">
        <v>143</v>
      </c>
      <c r="E22" s="59" t="s">
        <v>144</v>
      </c>
      <c r="F22" s="59">
        <f>4.688*0.5</f>
        <v>2.3439999999999999</v>
      </c>
      <c r="G22" s="60">
        <f>+L22*0.15</f>
        <v>1.4984999999999999</v>
      </c>
      <c r="H22" s="59">
        <v>3.3</v>
      </c>
      <c r="I22" s="60">
        <v>1.8200149999999999</v>
      </c>
      <c r="J22" s="61">
        <f t="shared" ref="J22:J28" si="5">+F22+G22+H22+I22</f>
        <v>8.9625149999999998</v>
      </c>
      <c r="K22" s="62">
        <f t="shared" ref="K22:K28" si="6">+L22-J22+N22</f>
        <v>1.4376850000000003</v>
      </c>
      <c r="L22" s="61">
        <v>9.99</v>
      </c>
      <c r="M22" s="63">
        <f t="shared" ref="M22:M28" si="7">+K22/L22</f>
        <v>0.14391241241241245</v>
      </c>
      <c r="N22" s="64">
        <f t="shared" ref="N22:N28" si="8">+F22*0.175</f>
        <v>0.41019999999999995</v>
      </c>
      <c r="O22" t="s">
        <v>160</v>
      </c>
    </row>
    <row r="23" spans="1:19" ht="26.25" customHeight="1" x14ac:dyDescent="0.25">
      <c r="A23" s="57">
        <v>8410836223979</v>
      </c>
      <c r="B23" s="58" t="s">
        <v>154</v>
      </c>
      <c r="C23" s="59" t="s">
        <v>163</v>
      </c>
      <c r="D23" s="59" t="s">
        <v>143</v>
      </c>
      <c r="E23" s="59" t="s">
        <v>147</v>
      </c>
      <c r="F23" s="59">
        <f>3.051*0.5</f>
        <v>1.5255000000000001</v>
      </c>
      <c r="G23" s="60">
        <f t="shared" ref="G23:G28" si="9">+L23*0.08</f>
        <v>0.79920000000000002</v>
      </c>
      <c r="H23" s="59">
        <v>3.3</v>
      </c>
      <c r="I23" s="60">
        <v>1.8200149999999999</v>
      </c>
      <c r="J23" s="61">
        <f t="shared" si="5"/>
        <v>7.4447149999999995</v>
      </c>
      <c r="K23" s="62">
        <f t="shared" si="6"/>
        <v>2.8122475000000007</v>
      </c>
      <c r="L23" s="61">
        <v>9.99</v>
      </c>
      <c r="M23" s="63">
        <f t="shared" si="7"/>
        <v>0.2815062562562563</v>
      </c>
      <c r="N23" s="64">
        <f t="shared" si="8"/>
        <v>0.26696249999999999</v>
      </c>
      <c r="O23" s="59" t="s">
        <v>160</v>
      </c>
      <c r="P23" s="59" t="s">
        <v>174</v>
      </c>
      <c r="Q23" s="65" t="s">
        <v>175</v>
      </c>
      <c r="R23" s="65" t="s">
        <v>176</v>
      </c>
      <c r="S23" s="59" t="s">
        <v>177</v>
      </c>
    </row>
    <row r="24" spans="1:19" s="59" customFormat="1" ht="31.5" customHeight="1" x14ac:dyDescent="0.25">
      <c r="A24" s="57">
        <v>8410836223863</v>
      </c>
      <c r="B24" s="58" t="s">
        <v>155</v>
      </c>
      <c r="C24" s="59" t="s">
        <v>167</v>
      </c>
      <c r="D24" s="59" t="s">
        <v>143</v>
      </c>
      <c r="E24" s="59" t="s">
        <v>150</v>
      </c>
      <c r="F24" s="59">
        <f>3.051*0.5</f>
        <v>1.5255000000000001</v>
      </c>
      <c r="G24" s="60">
        <f t="shared" si="9"/>
        <v>0.67920000000000003</v>
      </c>
      <c r="H24" s="59">
        <v>3</v>
      </c>
      <c r="I24" s="60">
        <v>1.8200149999999999</v>
      </c>
      <c r="J24" s="61">
        <f t="shared" si="5"/>
        <v>7.0247149999999996</v>
      </c>
      <c r="K24" s="62">
        <f t="shared" si="6"/>
        <v>1.7322475000000006</v>
      </c>
      <c r="L24" s="61">
        <v>8.49</v>
      </c>
      <c r="M24" s="63">
        <f t="shared" si="7"/>
        <v>0.20403386336866908</v>
      </c>
      <c r="N24" s="64">
        <f t="shared" si="8"/>
        <v>0.26696249999999999</v>
      </c>
      <c r="P24" s="59" t="s">
        <v>178</v>
      </c>
      <c r="Q24" s="65" t="s">
        <v>179</v>
      </c>
      <c r="R24" s="65" t="s">
        <v>176</v>
      </c>
      <c r="S24" s="59" t="s">
        <v>177</v>
      </c>
    </row>
    <row r="25" spans="1:19" s="59" customFormat="1" ht="21.75" customHeight="1" x14ac:dyDescent="0.25">
      <c r="A25" s="57">
        <v>8410836223870</v>
      </c>
      <c r="B25" s="58" t="s">
        <v>153</v>
      </c>
      <c r="C25" s="59" t="s">
        <v>166</v>
      </c>
      <c r="D25" s="59" t="s">
        <v>143</v>
      </c>
      <c r="E25" s="59" t="s">
        <v>151</v>
      </c>
      <c r="F25" s="59">
        <f>3.051*0.5</f>
        <v>1.5255000000000001</v>
      </c>
      <c r="G25" s="60">
        <f t="shared" si="9"/>
        <v>0.67920000000000003</v>
      </c>
      <c r="H25" s="59">
        <v>3</v>
      </c>
      <c r="I25" s="60">
        <v>1.8200149999999999</v>
      </c>
      <c r="J25" s="61">
        <f t="shared" si="5"/>
        <v>7.0247149999999996</v>
      </c>
      <c r="K25" s="62">
        <f t="shared" si="6"/>
        <v>1.7322475000000006</v>
      </c>
      <c r="L25" s="61">
        <v>8.49</v>
      </c>
      <c r="M25" s="63">
        <f t="shared" si="7"/>
        <v>0.20403386336866908</v>
      </c>
      <c r="N25" s="64">
        <f t="shared" si="8"/>
        <v>0.26696249999999999</v>
      </c>
      <c r="O25" s="59" t="s">
        <v>161</v>
      </c>
      <c r="P25" s="66" t="s">
        <v>180</v>
      </c>
      <c r="Q25" s="65" t="s">
        <v>171</v>
      </c>
      <c r="R25" s="65" t="s">
        <v>172</v>
      </c>
      <c r="S25" s="59" t="s">
        <v>173</v>
      </c>
    </row>
    <row r="26" spans="1:19" s="59" customFormat="1" x14ac:dyDescent="0.25">
      <c r="A26" s="57">
        <v>8410836223887</v>
      </c>
      <c r="B26" s="58" t="s">
        <v>156</v>
      </c>
      <c r="C26" s="59" t="s">
        <v>165</v>
      </c>
      <c r="D26" s="59" t="s">
        <v>143</v>
      </c>
      <c r="E26" s="59" t="s">
        <v>145</v>
      </c>
      <c r="F26" s="59">
        <f>3.994*0.5</f>
        <v>1.9970000000000001</v>
      </c>
      <c r="G26" s="60">
        <f t="shared" si="9"/>
        <v>0.63919999999999999</v>
      </c>
      <c r="H26" s="59">
        <v>3.3</v>
      </c>
      <c r="I26" s="60">
        <v>1.8200149999999999</v>
      </c>
      <c r="J26" s="61">
        <f t="shared" si="5"/>
        <v>7.7562149999999992</v>
      </c>
      <c r="K26" s="62">
        <f t="shared" si="6"/>
        <v>0.583260000000001</v>
      </c>
      <c r="L26" s="61">
        <v>7.99</v>
      </c>
      <c r="M26" s="63">
        <f t="shared" si="7"/>
        <v>7.2998748435544547E-2</v>
      </c>
      <c r="N26" s="64">
        <f t="shared" si="8"/>
        <v>0.34947499999999998</v>
      </c>
      <c r="O26" s="59" t="s">
        <v>160</v>
      </c>
    </row>
    <row r="27" spans="1:19" s="59" customFormat="1" x14ac:dyDescent="0.25">
      <c r="A27" s="57">
        <v>8410836223825</v>
      </c>
      <c r="B27" s="58" t="s">
        <v>158</v>
      </c>
      <c r="C27" s="59" t="s">
        <v>146</v>
      </c>
      <c r="D27" s="59" t="s">
        <v>143</v>
      </c>
      <c r="E27" s="59" t="s">
        <v>149</v>
      </c>
      <c r="F27" s="59">
        <f>5.277*0.5</f>
        <v>2.6385000000000001</v>
      </c>
      <c r="G27" s="60">
        <f t="shared" si="9"/>
        <v>0.79920000000000002</v>
      </c>
      <c r="H27" s="59">
        <v>3.3</v>
      </c>
      <c r="I27" s="60">
        <v>1.8200149999999999</v>
      </c>
      <c r="J27" s="61">
        <f t="shared" si="5"/>
        <v>8.557715</v>
      </c>
      <c r="K27" s="62">
        <f t="shared" si="6"/>
        <v>1.8940225000000002</v>
      </c>
      <c r="L27" s="61">
        <v>9.99</v>
      </c>
      <c r="M27" s="63">
        <f t="shared" si="7"/>
        <v>0.18959184184184186</v>
      </c>
      <c r="N27" s="64">
        <f t="shared" si="8"/>
        <v>0.46173749999999997</v>
      </c>
      <c r="O27" s="59" t="s">
        <v>162</v>
      </c>
    </row>
    <row r="28" spans="1:19" s="59" customFormat="1" x14ac:dyDescent="0.25">
      <c r="A28" s="57">
        <v>8410836223832</v>
      </c>
      <c r="B28" s="58" t="s">
        <v>159</v>
      </c>
      <c r="C28" s="59" t="s">
        <v>164</v>
      </c>
      <c r="D28" s="59" t="s">
        <v>143</v>
      </c>
      <c r="E28" s="59" t="s">
        <v>148</v>
      </c>
      <c r="F28" s="59">
        <f>5.277*0.5</f>
        <v>2.6385000000000001</v>
      </c>
      <c r="G28" s="60">
        <f t="shared" si="9"/>
        <v>0.79920000000000002</v>
      </c>
      <c r="H28" s="59">
        <v>3.3</v>
      </c>
      <c r="I28" s="60">
        <v>1.8200149999999999</v>
      </c>
      <c r="J28" s="61">
        <f t="shared" si="5"/>
        <v>8.557715</v>
      </c>
      <c r="K28" s="62">
        <f t="shared" si="6"/>
        <v>1.8940225000000002</v>
      </c>
      <c r="L28" s="61">
        <v>9.99</v>
      </c>
      <c r="M28" s="63">
        <f t="shared" si="7"/>
        <v>0.18959184184184186</v>
      </c>
      <c r="N28" s="64">
        <f t="shared" si="8"/>
        <v>0.46173749999999997</v>
      </c>
    </row>
    <row r="29" spans="1:19" ht="15.75" thickBot="1" x14ac:dyDescent="0.3"/>
    <row r="30" spans="1:19" ht="15.75" thickBot="1" x14ac:dyDescent="0.3">
      <c r="A30" s="51"/>
      <c r="B30" s="49"/>
      <c r="C30" s="49"/>
      <c r="D30" s="49"/>
      <c r="E30" s="49"/>
      <c r="F30" s="49"/>
      <c r="G30" s="51" t="s">
        <v>187</v>
      </c>
      <c r="H30" s="49"/>
      <c r="I30" s="49"/>
      <c r="J30" s="49"/>
      <c r="K30" s="49"/>
      <c r="L30" s="49"/>
      <c r="M30" s="49"/>
      <c r="N30" s="50"/>
      <c r="O30" s="52"/>
      <c r="P30" s="53"/>
    </row>
    <row r="31" spans="1:19" ht="15.75" thickBot="1" x14ac:dyDescent="0.3">
      <c r="A31" s="57">
        <v>8410836223603</v>
      </c>
      <c r="B31" s="58" t="s">
        <v>194</v>
      </c>
      <c r="C31" s="67" t="s">
        <v>191</v>
      </c>
      <c r="D31" s="59" t="s">
        <v>143</v>
      </c>
      <c r="E31" s="59"/>
      <c r="F31" s="64">
        <f>+F22+F3</f>
        <v>6.2690000000000001</v>
      </c>
      <c r="G31" s="60">
        <f t="shared" ref="G31:G37" si="10">+L31*0.15</f>
        <v>2.6984999999999997</v>
      </c>
      <c r="H31" s="59">
        <v>4.4000000000000004</v>
      </c>
      <c r="I31" s="60">
        <v>1.8200149999999999</v>
      </c>
      <c r="J31" s="61">
        <f t="shared" ref="J31:J37" si="11">+F31+G31+H31+I31</f>
        <v>15.187514999999999</v>
      </c>
      <c r="K31" s="62">
        <f t="shared" ref="K31:K37" si="12">+L31-J31+N31</f>
        <v>3.8995599999999992</v>
      </c>
      <c r="L31" s="61">
        <v>17.989999999999998</v>
      </c>
      <c r="M31" s="63">
        <f t="shared" ref="M31:M37" si="13">+K31/L31</f>
        <v>0.21676264591439687</v>
      </c>
      <c r="N31" s="64">
        <f t="shared" ref="N31:N37" si="14">+F31*0.175</f>
        <v>1.097075</v>
      </c>
      <c r="O31" s="54"/>
      <c r="P31" s="53"/>
    </row>
    <row r="32" spans="1:19" ht="15.75" thickBot="1" x14ac:dyDescent="0.3">
      <c r="A32" s="57">
        <v>8410836223641</v>
      </c>
      <c r="B32" s="58" t="s">
        <v>195</v>
      </c>
      <c r="C32" s="67" t="s">
        <v>189</v>
      </c>
      <c r="D32" s="59" t="s">
        <v>143</v>
      </c>
      <c r="E32" s="59"/>
      <c r="F32" s="64">
        <f>F6+F26</f>
        <v>5.2830000000000004</v>
      </c>
      <c r="G32" s="60">
        <f t="shared" si="10"/>
        <v>2.6984999999999997</v>
      </c>
      <c r="H32" s="59">
        <v>4.4000000000000004</v>
      </c>
      <c r="I32" s="60">
        <v>1.8200149999999999</v>
      </c>
      <c r="J32" s="61">
        <f t="shared" si="11"/>
        <v>14.201515000000001</v>
      </c>
      <c r="K32" s="62">
        <f t="shared" si="12"/>
        <v>4.7130099999999979</v>
      </c>
      <c r="L32" s="61">
        <v>17.989999999999998</v>
      </c>
      <c r="M32" s="63">
        <f t="shared" si="13"/>
        <v>0.26197943301834342</v>
      </c>
      <c r="N32" s="64">
        <f t="shared" si="14"/>
        <v>0.92452500000000004</v>
      </c>
      <c r="O32" s="54"/>
      <c r="P32" s="53"/>
    </row>
    <row r="33" spans="1:16" ht="15.75" thickBot="1" x14ac:dyDescent="0.3">
      <c r="A33" s="57">
        <v>8410836223610</v>
      </c>
      <c r="B33" s="58" t="s">
        <v>196</v>
      </c>
      <c r="C33" s="67" t="s">
        <v>190</v>
      </c>
      <c r="D33" s="59" t="s">
        <v>143</v>
      </c>
      <c r="E33" s="59"/>
      <c r="F33" s="64">
        <f>+F23+F9</f>
        <v>3.6895000000000002</v>
      </c>
      <c r="G33" s="60">
        <f t="shared" si="10"/>
        <v>2.6234999999999995</v>
      </c>
      <c r="H33" s="59">
        <v>4.4000000000000004</v>
      </c>
      <c r="I33" s="60">
        <v>1.8200149999999999</v>
      </c>
      <c r="J33" s="61">
        <f t="shared" si="11"/>
        <v>12.533015000000001</v>
      </c>
      <c r="K33" s="62">
        <f t="shared" si="12"/>
        <v>5.602647499999998</v>
      </c>
      <c r="L33" s="61">
        <v>17.489999999999998</v>
      </c>
      <c r="M33" s="63">
        <f t="shared" si="13"/>
        <v>0.32033433390508853</v>
      </c>
      <c r="N33" s="64">
        <f t="shared" si="14"/>
        <v>0.64566250000000003</v>
      </c>
      <c r="O33" s="54"/>
      <c r="P33" s="53"/>
    </row>
    <row r="34" spans="1:16" ht="15.75" thickBot="1" x14ac:dyDescent="0.3">
      <c r="A34" s="55">
        <v>8410836223597</v>
      </c>
      <c r="B34" s="68" t="s">
        <v>209</v>
      </c>
      <c r="C34" s="56" t="s">
        <v>210</v>
      </c>
      <c r="D34" s="69" t="s">
        <v>143</v>
      </c>
      <c r="E34" s="69"/>
      <c r="F34" s="70">
        <f>+F28+F11</f>
        <v>8.1705000000000005</v>
      </c>
      <c r="G34" s="71">
        <f t="shared" si="10"/>
        <v>2.5484999999999998</v>
      </c>
      <c r="H34" s="69">
        <v>4.4000000000000004</v>
      </c>
      <c r="I34" s="71">
        <v>1.8200149999999999</v>
      </c>
      <c r="J34" s="72">
        <f t="shared" si="11"/>
        <v>16.939015000000001</v>
      </c>
      <c r="K34" s="73">
        <f t="shared" si="12"/>
        <v>1.4808224999999973</v>
      </c>
      <c r="L34" s="72">
        <v>16.989999999999998</v>
      </c>
      <c r="M34" s="74">
        <f t="shared" si="13"/>
        <v>8.7158475573866828E-2</v>
      </c>
      <c r="N34" s="70">
        <f t="shared" si="14"/>
        <v>1.4298375000000001</v>
      </c>
      <c r="O34" s="54"/>
      <c r="P34" s="53"/>
    </row>
    <row r="35" spans="1:16" ht="15.75" thickBot="1" x14ac:dyDescent="0.3">
      <c r="A35" s="57">
        <v>8410836223580</v>
      </c>
      <c r="B35" s="58" t="s">
        <v>197</v>
      </c>
      <c r="C35" s="67" t="s">
        <v>188</v>
      </c>
      <c r="D35" s="59" t="s">
        <v>143</v>
      </c>
      <c r="E35" s="59"/>
      <c r="F35" s="64">
        <f>+F27+F12</f>
        <v>8.1705000000000005</v>
      </c>
      <c r="G35" s="60">
        <f t="shared" si="10"/>
        <v>2.8484999999999996</v>
      </c>
      <c r="H35" s="59">
        <v>4.4000000000000004</v>
      </c>
      <c r="I35" s="60">
        <v>1.8200149999999999</v>
      </c>
      <c r="J35" s="61">
        <f t="shared" si="11"/>
        <v>17.239015000000002</v>
      </c>
      <c r="K35" s="62">
        <f t="shared" si="12"/>
        <v>3.1808224999999966</v>
      </c>
      <c r="L35" s="61">
        <v>18.989999999999998</v>
      </c>
      <c r="M35" s="63">
        <f t="shared" si="13"/>
        <v>0.16749986835176392</v>
      </c>
      <c r="N35" s="64">
        <f t="shared" si="14"/>
        <v>1.4298375000000001</v>
      </c>
      <c r="O35" s="54"/>
      <c r="P35" s="53"/>
    </row>
    <row r="36" spans="1:16" ht="15.75" thickBot="1" x14ac:dyDescent="0.3">
      <c r="A36" s="57">
        <v>8410836223627</v>
      </c>
      <c r="B36" s="58" t="s">
        <v>198</v>
      </c>
      <c r="C36" s="67" t="s">
        <v>192</v>
      </c>
      <c r="D36" s="59" t="s">
        <v>143</v>
      </c>
      <c r="E36" s="59"/>
      <c r="F36" s="64">
        <f>+F24+F15</f>
        <v>3.6895000000000002</v>
      </c>
      <c r="G36" s="60">
        <f t="shared" si="10"/>
        <v>2.2484999999999999</v>
      </c>
      <c r="H36" s="59">
        <v>4.4000000000000004</v>
      </c>
      <c r="I36" s="60">
        <v>1.8200149999999999</v>
      </c>
      <c r="J36" s="61">
        <f t="shared" si="11"/>
        <v>12.158015000000001</v>
      </c>
      <c r="K36" s="62">
        <f t="shared" si="12"/>
        <v>3.4776474999999998</v>
      </c>
      <c r="L36" s="61">
        <v>14.99</v>
      </c>
      <c r="M36" s="63">
        <f t="shared" si="13"/>
        <v>0.23199783188792528</v>
      </c>
      <c r="N36" s="64">
        <f t="shared" si="14"/>
        <v>0.64566250000000003</v>
      </c>
      <c r="O36" s="54"/>
      <c r="P36" s="53"/>
    </row>
    <row r="37" spans="1:16" x14ac:dyDescent="0.25">
      <c r="A37" s="57">
        <v>8410836223634</v>
      </c>
      <c r="B37" s="58" t="s">
        <v>199</v>
      </c>
      <c r="C37" s="67" t="s">
        <v>193</v>
      </c>
      <c r="D37" s="59" t="s">
        <v>143</v>
      </c>
      <c r="E37" s="59"/>
      <c r="F37" s="64">
        <f>+F16+F25</f>
        <v>3.6895000000000002</v>
      </c>
      <c r="G37" s="60">
        <f t="shared" si="10"/>
        <v>2.2484999999999999</v>
      </c>
      <c r="H37" s="59">
        <v>4.4000000000000004</v>
      </c>
      <c r="I37" s="60">
        <v>1.8200149999999999</v>
      </c>
      <c r="J37" s="61">
        <f t="shared" si="11"/>
        <v>12.158015000000001</v>
      </c>
      <c r="K37" s="62">
        <f t="shared" si="12"/>
        <v>3.4776474999999998</v>
      </c>
      <c r="L37" s="61">
        <v>14.99</v>
      </c>
      <c r="M37" s="63">
        <f t="shared" si="13"/>
        <v>0.23199783188792528</v>
      </c>
      <c r="N37" s="64">
        <f t="shared" si="14"/>
        <v>0.64566250000000003</v>
      </c>
    </row>
    <row r="38" spans="1:16" x14ac:dyDescent="0.25">
      <c r="A38" s="51"/>
      <c r="B38" s="49"/>
      <c r="C38" s="49"/>
      <c r="D38" s="49"/>
      <c r="E38" s="49"/>
      <c r="F38" s="49"/>
      <c r="G38" s="51" t="s">
        <v>201</v>
      </c>
      <c r="H38" s="49"/>
      <c r="I38" s="49"/>
      <c r="J38" s="49"/>
      <c r="K38" s="49"/>
      <c r="L38" s="49"/>
      <c r="M38" s="49"/>
      <c r="N38" s="50"/>
    </row>
    <row r="39" spans="1:16" x14ac:dyDescent="0.25">
      <c r="A39" s="35"/>
      <c r="B39" s="47" t="s">
        <v>202</v>
      </c>
      <c r="C39" s="18"/>
      <c r="D39" t="s">
        <v>143</v>
      </c>
      <c r="F39" s="30">
        <f>+F22+F45</f>
        <v>3.4790000000000001</v>
      </c>
      <c r="G39" s="2">
        <f t="shared" ref="G39:G44" si="15">+L39*0.15</f>
        <v>1.4984999999999999</v>
      </c>
      <c r="H39">
        <v>3</v>
      </c>
      <c r="I39" s="2">
        <v>1.8200149999999999</v>
      </c>
      <c r="J39" s="19">
        <f t="shared" ref="J39:J44" si="16">+F39+G39+H39+I39</f>
        <v>9.7975150000000006</v>
      </c>
      <c r="K39" s="20">
        <f t="shared" ref="K39:K44" si="17">+L39-J39+N39</f>
        <v>0.80130999999999952</v>
      </c>
      <c r="L39" s="19">
        <v>9.99</v>
      </c>
      <c r="M39" s="21">
        <f t="shared" ref="M39:M44" si="18">+K39/L39</f>
        <v>8.0211211211211164E-2</v>
      </c>
      <c r="N39" s="30">
        <f t="shared" ref="N39:N44" si="19">+F39*0.175</f>
        <v>0.60882499999999995</v>
      </c>
    </row>
    <row r="40" spans="1:16" x14ac:dyDescent="0.25">
      <c r="A40" s="35"/>
      <c r="B40" s="47" t="s">
        <v>203</v>
      </c>
      <c r="C40" s="18"/>
      <c r="D40" t="s">
        <v>143</v>
      </c>
      <c r="F40" s="30">
        <f>+F26+F45</f>
        <v>3.1320000000000001</v>
      </c>
      <c r="G40" s="2">
        <f t="shared" si="15"/>
        <v>1.4984999999999999</v>
      </c>
      <c r="H40">
        <v>3</v>
      </c>
      <c r="I40" s="2">
        <v>1.8200149999999999</v>
      </c>
      <c r="J40" s="19">
        <f t="shared" si="16"/>
        <v>9.4505149999999993</v>
      </c>
      <c r="K40" s="20">
        <f t="shared" si="17"/>
        <v>1.0875850000000009</v>
      </c>
      <c r="L40" s="19">
        <v>9.99</v>
      </c>
      <c r="M40" s="21">
        <f t="shared" si="18"/>
        <v>0.10886736736736746</v>
      </c>
      <c r="N40" s="30">
        <f t="shared" si="19"/>
        <v>0.54810000000000003</v>
      </c>
    </row>
    <row r="41" spans="1:16" x14ac:dyDescent="0.25">
      <c r="A41" s="35"/>
      <c r="B41" s="47" t="s">
        <v>204</v>
      </c>
      <c r="C41" s="18"/>
      <c r="D41" t="s">
        <v>143</v>
      </c>
      <c r="F41" s="30">
        <f>+F23+F45</f>
        <v>2.6604999999999999</v>
      </c>
      <c r="G41" s="2">
        <f t="shared" si="15"/>
        <v>1.4984999999999999</v>
      </c>
      <c r="H41">
        <v>3</v>
      </c>
      <c r="I41" s="2">
        <v>1.8200149999999999</v>
      </c>
      <c r="J41" s="19">
        <f t="shared" si="16"/>
        <v>8.9790150000000004</v>
      </c>
      <c r="K41" s="20">
        <f t="shared" si="17"/>
        <v>1.4765724999999996</v>
      </c>
      <c r="L41" s="19">
        <v>9.99</v>
      </c>
      <c r="M41" s="21">
        <f t="shared" si="18"/>
        <v>0.14780505505505501</v>
      </c>
      <c r="N41" s="30">
        <f t="shared" si="19"/>
        <v>0.46558749999999993</v>
      </c>
    </row>
    <row r="42" spans="1:16" x14ac:dyDescent="0.25">
      <c r="A42" s="35"/>
      <c r="B42" s="47" t="s">
        <v>205</v>
      </c>
      <c r="C42" s="18"/>
      <c r="D42" t="s">
        <v>143</v>
      </c>
      <c r="F42" s="30">
        <f>+F27+F45</f>
        <v>3.7735000000000003</v>
      </c>
      <c r="G42" s="2">
        <f t="shared" si="15"/>
        <v>1.4984999999999999</v>
      </c>
      <c r="H42">
        <v>3</v>
      </c>
      <c r="I42" s="2">
        <v>1.8200149999999999</v>
      </c>
      <c r="J42" s="19">
        <f t="shared" si="16"/>
        <v>10.092015</v>
      </c>
      <c r="K42" s="20">
        <f t="shared" si="17"/>
        <v>0.55834750000000022</v>
      </c>
      <c r="L42" s="19">
        <v>9.99</v>
      </c>
      <c r="M42" s="21">
        <f t="shared" si="18"/>
        <v>5.5890640640640664E-2</v>
      </c>
      <c r="N42" s="30">
        <f t="shared" si="19"/>
        <v>0.66036249999999996</v>
      </c>
    </row>
    <row r="43" spans="1:16" x14ac:dyDescent="0.25">
      <c r="A43" s="35"/>
      <c r="B43" s="47" t="s">
        <v>206</v>
      </c>
      <c r="C43" s="18"/>
      <c r="D43" t="s">
        <v>143</v>
      </c>
      <c r="F43" s="30">
        <f>+F24+F45</f>
        <v>2.6604999999999999</v>
      </c>
      <c r="G43" s="2">
        <f t="shared" si="15"/>
        <v>1.4984999999999999</v>
      </c>
      <c r="H43">
        <v>3</v>
      </c>
      <c r="I43" s="2">
        <v>1.8200149999999999</v>
      </c>
      <c r="J43" s="19">
        <f t="shared" si="16"/>
        <v>8.9790150000000004</v>
      </c>
      <c r="K43" s="20">
        <f t="shared" si="17"/>
        <v>1.4765724999999996</v>
      </c>
      <c r="L43" s="19">
        <v>9.99</v>
      </c>
      <c r="M43" s="21">
        <f t="shared" si="18"/>
        <v>0.14780505505505501</v>
      </c>
      <c r="N43" s="30">
        <f t="shared" si="19"/>
        <v>0.46558749999999993</v>
      </c>
    </row>
    <row r="44" spans="1:16" x14ac:dyDescent="0.25">
      <c r="A44" s="35"/>
      <c r="B44" s="47" t="s">
        <v>207</v>
      </c>
      <c r="C44" s="18"/>
      <c r="D44" t="s">
        <v>143</v>
      </c>
      <c r="F44" s="30">
        <f>+F25+F45</f>
        <v>2.6604999999999999</v>
      </c>
      <c r="G44" s="2">
        <f t="shared" si="15"/>
        <v>1.4984999999999999</v>
      </c>
      <c r="H44">
        <v>3</v>
      </c>
      <c r="I44" s="2">
        <v>1.8200149999999999</v>
      </c>
      <c r="J44" s="19">
        <f t="shared" si="16"/>
        <v>8.9790150000000004</v>
      </c>
      <c r="K44" s="20">
        <f t="shared" si="17"/>
        <v>1.4765724999999996</v>
      </c>
      <c r="L44" s="19">
        <v>9.99</v>
      </c>
      <c r="M44" s="21">
        <f t="shared" si="18"/>
        <v>0.14780505505505501</v>
      </c>
      <c r="N44" s="30">
        <f t="shared" si="19"/>
        <v>0.46558749999999993</v>
      </c>
    </row>
    <row r="45" spans="1:16" x14ac:dyDescent="0.25">
      <c r="B45" t="s">
        <v>208</v>
      </c>
      <c r="D45" t="s">
        <v>33</v>
      </c>
      <c r="F45">
        <f>2.27*0.5</f>
        <v>1.135</v>
      </c>
    </row>
  </sheetData>
  <mergeCells count="1">
    <mergeCell ref="A1:N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8543-B1A3-4CED-96E0-38BC6068238D}">
  <dimension ref="A1:L12"/>
  <sheetViews>
    <sheetView topLeftCell="C1" workbookViewId="0">
      <selection activeCell="F4" sqref="F4"/>
    </sheetView>
  </sheetViews>
  <sheetFormatPr baseColWidth="10" defaultRowHeight="15" x14ac:dyDescent="0.25"/>
  <cols>
    <col min="1" max="1" width="14" bestFit="1" customWidth="1"/>
    <col min="2" max="2" width="30.42578125" bestFit="1" customWidth="1"/>
  </cols>
  <sheetData>
    <row r="1" spans="1:12" x14ac:dyDescent="0.25">
      <c r="B1" s="82" t="s">
        <v>83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x14ac:dyDescent="0.25">
      <c r="A2" s="36" t="s">
        <v>9</v>
      </c>
      <c r="B2" s="36" t="s">
        <v>10</v>
      </c>
      <c r="C2" s="36" t="s">
        <v>17</v>
      </c>
      <c r="D2" s="36" t="s">
        <v>0</v>
      </c>
      <c r="E2" s="37" t="s">
        <v>1</v>
      </c>
      <c r="F2" s="37" t="s">
        <v>2</v>
      </c>
      <c r="G2" s="37" t="s">
        <v>3</v>
      </c>
      <c r="H2" s="38" t="s">
        <v>4</v>
      </c>
      <c r="I2" s="37" t="s">
        <v>5</v>
      </c>
      <c r="J2" s="37" t="s">
        <v>6</v>
      </c>
      <c r="K2" s="37" t="s">
        <v>7</v>
      </c>
      <c r="L2" s="39" t="s">
        <v>8</v>
      </c>
    </row>
    <row r="3" spans="1:12" x14ac:dyDescent="0.25">
      <c r="A3" s="40">
        <v>8410836223238</v>
      </c>
      <c r="B3" t="s">
        <v>221</v>
      </c>
      <c r="C3" t="s">
        <v>229</v>
      </c>
      <c r="E3">
        <f>3.12*0.5</f>
        <v>1.56</v>
      </c>
      <c r="F3" s="2">
        <f>+K3*0.15</f>
        <v>1.4984999999999999</v>
      </c>
      <c r="G3">
        <v>3.3</v>
      </c>
      <c r="H3" s="2">
        <v>1.8200149999999999</v>
      </c>
      <c r="I3" s="19">
        <f>+E3+F3+G3+H3</f>
        <v>8.1785149999999991</v>
      </c>
      <c r="J3" s="20">
        <f>+K3-I3</f>
        <v>1.8114850000000011</v>
      </c>
      <c r="K3" s="19">
        <v>9.99</v>
      </c>
      <c r="L3" s="21">
        <f>+J3/K3</f>
        <v>0.18132982982982992</v>
      </c>
    </row>
    <row r="4" spans="1:12" x14ac:dyDescent="0.25">
      <c r="A4" s="40">
        <v>8410836223269</v>
      </c>
      <c r="B4" t="s">
        <v>222</v>
      </c>
      <c r="C4" t="s">
        <v>229</v>
      </c>
      <c r="E4">
        <f>3.99*0.5</f>
        <v>1.9950000000000001</v>
      </c>
      <c r="F4" s="2">
        <f t="shared" ref="F4:F12" si="0">+K4*0.15</f>
        <v>1.4984999999999999</v>
      </c>
      <c r="G4">
        <v>3.3</v>
      </c>
      <c r="H4" s="2">
        <v>1.8200149999999999</v>
      </c>
      <c r="I4" s="19">
        <f t="shared" ref="I4:I12" si="1">+E4+F4+G4+H4</f>
        <v>8.6135149999999996</v>
      </c>
      <c r="J4" s="20">
        <f t="shared" ref="J4:J12" si="2">+K4-I4</f>
        <v>1.3764850000000006</v>
      </c>
      <c r="K4" s="19">
        <v>9.99</v>
      </c>
      <c r="L4" s="21">
        <f t="shared" ref="L4:L12" si="3">+J4/K4</f>
        <v>0.13778628628628634</v>
      </c>
    </row>
    <row r="5" spans="1:12" x14ac:dyDescent="0.25">
      <c r="A5" s="40">
        <v>8410836223252</v>
      </c>
      <c r="B5" t="s">
        <v>223</v>
      </c>
      <c r="C5" t="s">
        <v>229</v>
      </c>
      <c r="E5">
        <f>4.99*0.5</f>
        <v>2.4950000000000001</v>
      </c>
      <c r="F5" s="2">
        <f t="shared" si="0"/>
        <v>1.7985</v>
      </c>
      <c r="G5">
        <v>3.3</v>
      </c>
      <c r="H5" s="2">
        <v>1.8200149999999999</v>
      </c>
      <c r="I5" s="19">
        <f t="shared" si="1"/>
        <v>9.4135150000000003</v>
      </c>
      <c r="J5" s="20">
        <f t="shared" si="2"/>
        <v>2.5764849999999999</v>
      </c>
      <c r="K5" s="19">
        <v>11.99</v>
      </c>
      <c r="L5" s="21">
        <f t="shared" si="3"/>
        <v>0.21488615512927439</v>
      </c>
    </row>
    <row r="6" spans="1:12" x14ac:dyDescent="0.25">
      <c r="A6" s="40">
        <v>8410836223245</v>
      </c>
      <c r="B6" t="s">
        <v>224</v>
      </c>
      <c r="C6" t="s">
        <v>229</v>
      </c>
      <c r="E6">
        <f>2.99*0.5</f>
        <v>1.4950000000000001</v>
      </c>
      <c r="F6" s="2">
        <f t="shared" si="0"/>
        <v>1.4984999999999999</v>
      </c>
      <c r="G6">
        <v>3.3</v>
      </c>
      <c r="H6" s="2">
        <v>1.8200149999999999</v>
      </c>
      <c r="I6" s="19">
        <f t="shared" si="1"/>
        <v>8.1135149999999996</v>
      </c>
      <c r="J6" s="20">
        <f t="shared" si="2"/>
        <v>1.8764850000000006</v>
      </c>
      <c r="K6" s="19">
        <v>9.99</v>
      </c>
      <c r="L6" s="21">
        <f t="shared" si="3"/>
        <v>0.1878363363363364</v>
      </c>
    </row>
    <row r="7" spans="1:12" x14ac:dyDescent="0.25">
      <c r="A7" s="40">
        <v>8410836223290</v>
      </c>
      <c r="B7" t="s">
        <v>225</v>
      </c>
      <c r="C7" t="s">
        <v>229</v>
      </c>
      <c r="E7">
        <f>3.99*0.5</f>
        <v>1.9950000000000001</v>
      </c>
      <c r="F7" s="2">
        <f t="shared" si="0"/>
        <v>1.7985</v>
      </c>
      <c r="G7">
        <v>3.3</v>
      </c>
      <c r="H7" s="2">
        <v>1.8200149999999999</v>
      </c>
      <c r="I7" s="19">
        <f t="shared" si="1"/>
        <v>8.9135150000000003</v>
      </c>
      <c r="J7" s="20">
        <f t="shared" si="2"/>
        <v>3.0764849999999999</v>
      </c>
      <c r="K7" s="19">
        <v>11.99</v>
      </c>
      <c r="L7" s="21">
        <f t="shared" si="3"/>
        <v>0.25658757297748125</v>
      </c>
    </row>
    <row r="8" spans="1:12" x14ac:dyDescent="0.25">
      <c r="A8" s="40">
        <v>8410836223313</v>
      </c>
      <c r="B8" t="s">
        <v>226</v>
      </c>
      <c r="C8" t="s">
        <v>229</v>
      </c>
      <c r="E8">
        <f>2.99*0.5</f>
        <v>1.4950000000000001</v>
      </c>
      <c r="F8" s="2">
        <f t="shared" si="0"/>
        <v>1.4984999999999999</v>
      </c>
      <c r="G8">
        <v>3.3</v>
      </c>
      <c r="H8" s="2">
        <v>1.8200149999999999</v>
      </c>
      <c r="I8" s="19">
        <f t="shared" si="1"/>
        <v>8.1135149999999996</v>
      </c>
      <c r="J8" s="20">
        <f t="shared" si="2"/>
        <v>1.8764850000000006</v>
      </c>
      <c r="K8" s="19">
        <v>9.99</v>
      </c>
      <c r="L8" s="21">
        <f t="shared" si="3"/>
        <v>0.1878363363363364</v>
      </c>
    </row>
    <row r="9" spans="1:12" x14ac:dyDescent="0.25">
      <c r="A9" s="40">
        <v>8410836223320</v>
      </c>
      <c r="B9" t="s">
        <v>227</v>
      </c>
      <c r="C9" t="s">
        <v>229</v>
      </c>
      <c r="E9">
        <f>5.99*0.5</f>
        <v>2.9950000000000001</v>
      </c>
      <c r="F9" s="2">
        <f t="shared" si="0"/>
        <v>1.9484999999999999</v>
      </c>
      <c r="G9">
        <v>3.3</v>
      </c>
      <c r="H9" s="2">
        <v>1.8200149999999999</v>
      </c>
      <c r="I9" s="19">
        <f t="shared" si="1"/>
        <v>10.063515000000001</v>
      </c>
      <c r="J9" s="20">
        <f t="shared" si="2"/>
        <v>2.9264849999999996</v>
      </c>
      <c r="K9" s="19">
        <v>12.99</v>
      </c>
      <c r="L9" s="21">
        <f t="shared" si="3"/>
        <v>0.22528752886836023</v>
      </c>
    </row>
    <row r="10" spans="1:12" x14ac:dyDescent="0.25">
      <c r="A10" s="40">
        <v>8410836223283</v>
      </c>
      <c r="B10" t="s">
        <v>228</v>
      </c>
      <c r="C10" t="s">
        <v>229</v>
      </c>
      <c r="E10">
        <f>4.99*0.5</f>
        <v>2.4950000000000001</v>
      </c>
      <c r="F10" s="2">
        <f t="shared" si="0"/>
        <v>1.9484999999999999</v>
      </c>
      <c r="G10">
        <v>3.3</v>
      </c>
      <c r="H10" s="2">
        <v>1.8200149999999999</v>
      </c>
      <c r="I10" s="19">
        <f t="shared" si="1"/>
        <v>9.5635150000000007</v>
      </c>
      <c r="J10" s="20">
        <f t="shared" si="2"/>
        <v>3.4264849999999996</v>
      </c>
      <c r="K10" s="19">
        <v>12.99</v>
      </c>
      <c r="L10" s="21">
        <f t="shared" si="3"/>
        <v>0.2637786759045419</v>
      </c>
    </row>
    <row r="11" spans="1:12" x14ac:dyDescent="0.25">
      <c r="A11" s="40">
        <v>8410836223306</v>
      </c>
      <c r="B11" t="s">
        <v>230</v>
      </c>
      <c r="C11" t="s">
        <v>229</v>
      </c>
      <c r="E11">
        <f>5.99*0.5</f>
        <v>2.9950000000000001</v>
      </c>
      <c r="F11" s="2">
        <f t="shared" si="0"/>
        <v>1.9484999999999999</v>
      </c>
      <c r="G11">
        <v>3.3</v>
      </c>
      <c r="H11" s="2">
        <v>1.8200149999999999</v>
      </c>
      <c r="I11" s="19">
        <f t="shared" si="1"/>
        <v>10.063515000000001</v>
      </c>
      <c r="J11" s="20">
        <f t="shared" si="2"/>
        <v>2.9264849999999996</v>
      </c>
      <c r="K11" s="19">
        <v>12.99</v>
      </c>
      <c r="L11" s="21">
        <f t="shared" si="3"/>
        <v>0.22528752886836023</v>
      </c>
    </row>
    <row r="12" spans="1:12" x14ac:dyDescent="0.25">
      <c r="A12" s="40">
        <v>8410836223276</v>
      </c>
      <c r="B12" t="s">
        <v>231</v>
      </c>
      <c r="C12" t="s">
        <v>229</v>
      </c>
      <c r="E12">
        <f>4.99*0.5</f>
        <v>2.4950000000000001</v>
      </c>
      <c r="F12" s="2">
        <f t="shared" si="0"/>
        <v>1.9484999999999999</v>
      </c>
      <c r="G12">
        <v>3.3</v>
      </c>
      <c r="H12" s="2">
        <v>1.8200149999999999</v>
      </c>
      <c r="I12" s="19">
        <f t="shared" si="1"/>
        <v>9.5635150000000007</v>
      </c>
      <c r="J12" s="20">
        <f t="shared" si="2"/>
        <v>3.4264849999999996</v>
      </c>
      <c r="K12" s="19">
        <v>12.99</v>
      </c>
      <c r="L12" s="21">
        <f t="shared" si="3"/>
        <v>0.2637786759045419</v>
      </c>
    </row>
  </sheetData>
  <mergeCells count="1">
    <mergeCell ref="B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7C11-BA66-4074-B3EB-56E29507E8B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544E-9F96-46D3-9778-5725BEEF202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MATON</vt:lpstr>
      <vt:lpstr>BIOLEAF</vt:lpstr>
      <vt:lpstr>ELVIRA</vt:lpstr>
      <vt:lpstr>WINS</vt:lpstr>
      <vt:lpstr>LA GARRAFITA</vt:lpstr>
      <vt:lpstr>PLIX</vt:lpstr>
      <vt:lpstr>PROFESIONAL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Cuperinox Albacete</dc:creator>
  <cp:lastModifiedBy>Cuperinox Albacete</cp:lastModifiedBy>
  <cp:lastPrinted>2025-10-28T09:15:25Z</cp:lastPrinted>
  <dcterms:created xsi:type="dcterms:W3CDTF">2025-05-12T14:06:00Z</dcterms:created>
  <dcterms:modified xsi:type="dcterms:W3CDTF">2026-08-25T08:03:15Z</dcterms:modified>
</cp:coreProperties>
</file>